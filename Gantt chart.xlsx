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stmicroelectronics-my.sharepoint.com/personal/abir_gharbi_st_com/Documents/"/>
    </mc:Choice>
  </mc:AlternateContent>
  <xr:revisionPtr revIDLastSave="608" documentId="8_{2B7AD948-6999-4701-AEFD-5391396140CC}" xr6:coauthVersionLast="47" xr6:coauthVersionMax="47" xr10:uidLastSave="{C7EA5D86-FD8F-4281-A26E-C84CBC50E35D}"/>
  <bookViews>
    <workbookView xWindow="-120" yWindow="-120" windowWidth="29040" windowHeight="15720" activeTab="2" xr2:uid="{00000000-000D-0000-FFFF-FFFF00000000}"/>
  </bookViews>
  <sheets>
    <sheet name="Project schedule initial" sheetId="14" r:id="rId1"/>
    <sheet name="Project schedule dynamic" sheetId="11" r:id="rId2"/>
    <sheet name="New GANTT" sheetId="15" r:id="rId3"/>
    <sheet name="Sheet1" sheetId="13" r:id="rId4"/>
    <sheet name="About" sheetId="12" r:id="rId5"/>
  </sheets>
  <definedNames>
    <definedName name="Display_Week" localSheetId="2">'New GANTT'!$Q$2</definedName>
    <definedName name="Display_Week" localSheetId="0">'Project schedule initial'!$P$2</definedName>
    <definedName name="Display_Week">'Project schedule dynamic'!$P$2</definedName>
    <definedName name="_xlnm.Print_Titles" localSheetId="2">'New GANTT'!$4:$6</definedName>
    <definedName name="_xlnm.Print_Titles" localSheetId="1">'Project schedule dynamic'!$4:$6</definedName>
    <definedName name="_xlnm.Print_Titles" localSheetId="0">'Project schedule initial'!$4:$6</definedName>
    <definedName name="Project_Start" localSheetId="2">'New GANTT'!$Q$1</definedName>
    <definedName name="Project_Start" localSheetId="0">'Project schedule initial'!$P$1</definedName>
    <definedName name="Project_Start">'Project schedule dynamic'!$P$1</definedName>
    <definedName name="task_end" localSheetId="2">'New GANTT'!$F1</definedName>
    <definedName name="task_end" localSheetId="1">'Project schedule dynamic'!$E1</definedName>
    <definedName name="task_end" localSheetId="0">'Project schedule initial'!$E1</definedName>
    <definedName name="task_end" localSheetId="3">'Project schedule dynamic'!$E1</definedName>
    <definedName name="task_progress" localSheetId="2">'New GANTT'!$D1</definedName>
    <definedName name="task_progress" localSheetId="1">'Project schedule dynamic'!$C1</definedName>
    <definedName name="task_progress" localSheetId="0">'Project schedule initial'!$C1</definedName>
    <definedName name="task_progress" localSheetId="3">'Project schedule dynamic'!$C1</definedName>
    <definedName name="task_start" localSheetId="2">'New GANTT'!$E1</definedName>
    <definedName name="task_start" localSheetId="1">'Project schedule dynamic'!$D1</definedName>
    <definedName name="task_start" localSheetId="0">'Project schedule initial'!$D1</definedName>
    <definedName name="task_start" localSheetId="3">'Project schedule dynamic'!$D1</definedName>
    <definedName name="today" localSheetId="2">TODAY()</definedName>
    <definedName name="today" localSheetId="1">TODAY()</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15" l="1"/>
  <c r="H31" i="15"/>
  <c r="H23" i="15"/>
  <c r="H19" i="15"/>
  <c r="H12" i="15"/>
  <c r="H8" i="15"/>
  <c r="H7" i="15"/>
  <c r="AK1" i="15"/>
  <c r="Q1" i="15"/>
  <c r="I5" i="15" s="1"/>
  <c r="E31" i="14"/>
  <c r="D31" i="14"/>
  <c r="G31" i="14" s="1"/>
  <c r="E30" i="14"/>
  <c r="D30" i="14"/>
  <c r="G30" i="14" s="1"/>
  <c r="E29" i="14"/>
  <c r="G29" i="14" s="1"/>
  <c r="D29" i="14"/>
  <c r="G28" i="14"/>
  <c r="E27" i="14"/>
  <c r="D27" i="14"/>
  <c r="G27" i="14" s="1"/>
  <c r="E26" i="14"/>
  <c r="D26" i="14"/>
  <c r="G26" i="14" s="1"/>
  <c r="E25" i="14"/>
  <c r="D25" i="14"/>
  <c r="G25" i="14" s="1"/>
  <c r="G24" i="14"/>
  <c r="E23" i="14"/>
  <c r="D23" i="14"/>
  <c r="G23" i="14" s="1"/>
  <c r="G22" i="14"/>
  <c r="E22" i="14"/>
  <c r="D22" i="14"/>
  <c r="E21" i="14"/>
  <c r="D21" i="14"/>
  <c r="G21" i="14" s="1"/>
  <c r="G20" i="14"/>
  <c r="E19" i="14"/>
  <c r="G19" i="14" s="1"/>
  <c r="D19" i="14"/>
  <c r="G18" i="14"/>
  <c r="E18" i="14"/>
  <c r="D18" i="14"/>
  <c r="E17" i="14"/>
  <c r="D17" i="14"/>
  <c r="G17" i="14" s="1"/>
  <c r="G16" i="14"/>
  <c r="E15" i="14"/>
  <c r="D15" i="14"/>
  <c r="G15" i="14" s="1"/>
  <c r="E14" i="14"/>
  <c r="D14" i="14"/>
  <c r="G14" i="14" s="1"/>
  <c r="E13" i="14"/>
  <c r="G13" i="14" s="1"/>
  <c r="D13" i="14"/>
  <c r="G12" i="14"/>
  <c r="E11" i="14"/>
  <c r="D11" i="14"/>
  <c r="G11" i="14" s="1"/>
  <c r="E10" i="14"/>
  <c r="D10" i="14"/>
  <c r="G10" i="14" s="1"/>
  <c r="E9" i="14"/>
  <c r="G9" i="14" s="1"/>
  <c r="D9" i="14"/>
  <c r="G8" i="14"/>
  <c r="G7" i="14"/>
  <c r="H5" i="14"/>
  <c r="H6" i="14" s="1"/>
  <c r="AJ1" i="14"/>
  <c r="P1" i="14"/>
  <c r="E10" i="11"/>
  <c r="E9" i="11"/>
  <c r="D9" i="11"/>
  <c r="E31" i="11"/>
  <c r="D31" i="11"/>
  <c r="E30" i="11"/>
  <c r="D30" i="11"/>
  <c r="E29" i="11"/>
  <c r="D29" i="11"/>
  <c r="E27" i="11"/>
  <c r="D27" i="11"/>
  <c r="E26" i="11"/>
  <c r="D26" i="11"/>
  <c r="E25" i="11"/>
  <c r="D25" i="11"/>
  <c r="E23" i="11"/>
  <c r="E22" i="11"/>
  <c r="E21" i="11"/>
  <c r="D21" i="11"/>
  <c r="E19" i="11"/>
  <c r="D19" i="11"/>
  <c r="E18" i="11"/>
  <c r="D18" i="11"/>
  <c r="E17" i="11"/>
  <c r="D17" i="11"/>
  <c r="G28" i="11"/>
  <c r="G24" i="11"/>
  <c r="AJ1" i="11"/>
  <c r="D13" i="11"/>
  <c r="D15" i="11"/>
  <c r="D14" i="11"/>
  <c r="E15" i="11"/>
  <c r="E14" i="11"/>
  <c r="E13" i="11"/>
  <c r="D11" i="11"/>
  <c r="D10" i="11"/>
  <c r="E11" i="11"/>
  <c r="P1" i="11"/>
  <c r="G7" i="11"/>
  <c r="H32" i="15" l="1"/>
  <c r="H10" i="15"/>
  <c r="H13" i="15"/>
  <c r="H21" i="15"/>
  <c r="H36" i="15"/>
  <c r="H22" i="15"/>
  <c r="H37" i="15"/>
  <c r="H38" i="15"/>
  <c r="H34" i="15"/>
  <c r="H14" i="15"/>
  <c r="H30" i="15"/>
  <c r="H11" i="15"/>
  <c r="H18" i="15"/>
  <c r="H20" i="15"/>
  <c r="H33" i="15"/>
  <c r="H24" i="15"/>
  <c r="H9" i="15"/>
  <c r="H25" i="15"/>
  <c r="I6" i="15"/>
  <c r="I4" i="15"/>
  <c r="J5" i="15"/>
  <c r="I5" i="14"/>
  <c r="H4" i="14"/>
  <c r="H5" i="11"/>
  <c r="G20" i="11"/>
  <c r="G16" i="11"/>
  <c r="G12" i="11"/>
  <c r="G8" i="11"/>
  <c r="J6" i="15" l="1"/>
  <c r="K5" i="15"/>
  <c r="I6" i="14"/>
  <c r="J5" i="14"/>
  <c r="G25" i="11"/>
  <c r="G29" i="11"/>
  <c r="G17" i="11"/>
  <c r="G18" i="11"/>
  <c r="D22" i="11"/>
  <c r="G9" i="11"/>
  <c r="H6" i="11"/>
  <c r="L5" i="15" l="1"/>
  <c r="K6" i="15"/>
  <c r="K5" i="14"/>
  <c r="J6" i="14"/>
  <c r="G31" i="11"/>
  <c r="G30" i="11"/>
  <c r="G27" i="11"/>
  <c r="G26" i="11"/>
  <c r="D23" i="11"/>
  <c r="G21" i="11"/>
  <c r="G10" i="11"/>
  <c r="G19" i="11"/>
  <c r="G13" i="11"/>
  <c r="I5" i="11"/>
  <c r="J5" i="11" s="1"/>
  <c r="K5" i="11" s="1"/>
  <c r="L5" i="11" s="1"/>
  <c r="M5" i="11" s="1"/>
  <c r="N5" i="11" s="1"/>
  <c r="O5" i="11" s="1"/>
  <c r="H4" i="11"/>
  <c r="M5" i="15" l="1"/>
  <c r="L6" i="15"/>
  <c r="K6" i="14"/>
  <c r="L5" i="14"/>
  <c r="G22" i="11"/>
  <c r="G23" i="11"/>
  <c r="G14" i="11"/>
  <c r="G11" i="11"/>
  <c r="O4" i="11"/>
  <c r="P5" i="11"/>
  <c r="Q5" i="11" s="1"/>
  <c r="R5" i="11" s="1"/>
  <c r="S5" i="11" s="1"/>
  <c r="T5" i="11" s="1"/>
  <c r="U5" i="11" s="1"/>
  <c r="V5" i="11" s="1"/>
  <c r="I6" i="11"/>
  <c r="N5" i="15" l="1"/>
  <c r="M6" i="15"/>
  <c r="M5" i="14"/>
  <c r="L6" i="14"/>
  <c r="G15" i="11"/>
  <c r="V4" i="11"/>
  <c r="W5" i="11"/>
  <c r="X5" i="11" s="1"/>
  <c r="Y5" i="11" s="1"/>
  <c r="Z5" i="11" s="1"/>
  <c r="AA5" i="11" s="1"/>
  <c r="AB5" i="11" s="1"/>
  <c r="AC5" i="11" s="1"/>
  <c r="J6" i="11"/>
  <c r="O5" i="15" l="1"/>
  <c r="N6" i="15"/>
  <c r="N5" i="14"/>
  <c r="M6" i="14"/>
  <c r="AD5" i="11"/>
  <c r="AE5" i="11" s="1"/>
  <c r="AF5" i="11" s="1"/>
  <c r="AG5" i="11" s="1"/>
  <c r="AH5" i="11" s="1"/>
  <c r="AI5" i="11" s="1"/>
  <c r="AC4" i="11"/>
  <c r="K6" i="11"/>
  <c r="O6" i="15" l="1"/>
  <c r="P5" i="15"/>
  <c r="N6" i="14"/>
  <c r="O5" i="14"/>
  <c r="AJ5" i="11"/>
  <c r="AK5" i="11" s="1"/>
  <c r="AL5" i="11" s="1"/>
  <c r="AM5" i="11" s="1"/>
  <c r="AN5" i="11" s="1"/>
  <c r="AO5" i="11" s="1"/>
  <c r="AP5" i="11" s="1"/>
  <c r="L6" i="11"/>
  <c r="P4" i="15" l="1"/>
  <c r="P6" i="15"/>
  <c r="Q5" i="15"/>
  <c r="O4" i="14"/>
  <c r="O6" i="14"/>
  <c r="P5" i="14"/>
  <c r="AQ5" i="11"/>
  <c r="AR5" i="11" s="1"/>
  <c r="AJ4" i="11"/>
  <c r="M6" i="11"/>
  <c r="Q6" i="15" l="1"/>
  <c r="R5" i="15"/>
  <c r="P6" i="14"/>
  <c r="Q5" i="14"/>
  <c r="AS5" i="11"/>
  <c r="AR6" i="11"/>
  <c r="AQ4" i="11"/>
  <c r="N6" i="11"/>
  <c r="R6" i="15" l="1"/>
  <c r="S5" i="15"/>
  <c r="Q6" i="14"/>
  <c r="R5" i="14"/>
  <c r="AT5" i="11"/>
  <c r="AS6" i="11"/>
  <c r="T5" i="15" l="1"/>
  <c r="S6" i="15"/>
  <c r="S5" i="14"/>
  <c r="R6" i="14"/>
  <c r="AU5" i="11"/>
  <c r="AT6" i="11"/>
  <c r="O6" i="11"/>
  <c r="P6" i="11"/>
  <c r="U5" i="15" l="1"/>
  <c r="T6" i="15"/>
  <c r="T5" i="14"/>
  <c r="S6" i="14"/>
  <c r="AV5" i="11"/>
  <c r="AU6" i="11"/>
  <c r="Q6" i="11"/>
  <c r="V5" i="15" l="1"/>
  <c r="U6" i="15"/>
  <c r="U5" i="14"/>
  <c r="T6" i="14"/>
  <c r="AW5" i="11"/>
  <c r="AX5" i="11" s="1"/>
  <c r="AV6" i="11"/>
  <c r="R6" i="11"/>
  <c r="W5" i="15" l="1"/>
  <c r="V6" i="15"/>
  <c r="V5" i="14"/>
  <c r="U6" i="14"/>
  <c r="AX6" i="11"/>
  <c r="AY5" i="11"/>
  <c r="AX4" i="11"/>
  <c r="AW6" i="11"/>
  <c r="S6" i="11"/>
  <c r="W6" i="15" l="1"/>
  <c r="X5" i="15"/>
  <c r="W4" i="15"/>
  <c r="V6" i="14"/>
  <c r="W5" i="14"/>
  <c r="V4" i="14"/>
  <c r="AZ5" i="11"/>
  <c r="AY6" i="11"/>
  <c r="T6" i="11"/>
  <c r="X6" i="15" l="1"/>
  <c r="Y5" i="15"/>
  <c r="X5" i="14"/>
  <c r="W6" i="14"/>
  <c r="AZ6" i="11"/>
  <c r="BA5" i="11"/>
  <c r="U6" i="11"/>
  <c r="Y6" i="15" l="1"/>
  <c r="Z5" i="15"/>
  <c r="X6" i="14"/>
  <c r="Y5" i="14"/>
  <c r="BA6" i="11"/>
  <c r="BB5" i="11"/>
  <c r="V6" i="11"/>
  <c r="Z6" i="15" l="1"/>
  <c r="AA5" i="15"/>
  <c r="Y6" i="14"/>
  <c r="Z5" i="14"/>
  <c r="BB6" i="11"/>
  <c r="BC5" i="11"/>
  <c r="W6" i="11"/>
  <c r="AB5" i="15" l="1"/>
  <c r="AA6" i="15"/>
  <c r="AA5" i="14"/>
  <c r="Z6" i="14"/>
  <c r="BD5" i="11"/>
  <c r="BC6" i="11"/>
  <c r="X6" i="11"/>
  <c r="AC5" i="15" l="1"/>
  <c r="AB6" i="15"/>
  <c r="AA6" i="14"/>
  <c r="AB5" i="14"/>
  <c r="BD6" i="11"/>
  <c r="BE5" i="11"/>
  <c r="Y6" i="11"/>
  <c r="AD5" i="15" l="1"/>
  <c r="AC6" i="15"/>
  <c r="AC5" i="14"/>
  <c r="AB6" i="14"/>
  <c r="BE6" i="11"/>
  <c r="BF5" i="11"/>
  <c r="BE4" i="11"/>
  <c r="Z6" i="11"/>
  <c r="AE5" i="15" l="1"/>
  <c r="AD6" i="15"/>
  <c r="AD4" i="15"/>
  <c r="AD5" i="14"/>
  <c r="AC6" i="14"/>
  <c r="AC4" i="14"/>
  <c r="BF6" i="11"/>
  <c r="BG5" i="11"/>
  <c r="BH5" i="11" s="1"/>
  <c r="BI5" i="11" s="1"/>
  <c r="BJ5" i="11" s="1"/>
  <c r="BK5" i="11" s="1"/>
  <c r="BL5" i="11" s="1"/>
  <c r="AA6" i="11"/>
  <c r="AE6" i="15" l="1"/>
  <c r="AF5" i="15"/>
  <c r="AE5" i="14"/>
  <c r="AD6" i="14"/>
  <c r="BL4" i="11"/>
  <c r="BM5" i="11"/>
  <c r="BL6" i="11"/>
  <c r="BG6" i="11"/>
  <c r="AB6" i="11"/>
  <c r="AF6" i="15" l="1"/>
  <c r="AG5" i="15"/>
  <c r="AE6" i="14"/>
  <c r="AF5" i="14"/>
  <c r="BM6" i="11"/>
  <c r="BN5" i="11"/>
  <c r="BO5" i="11" s="1"/>
  <c r="BH6" i="11"/>
  <c r="AC6" i="11"/>
  <c r="AG6" i="15" l="1"/>
  <c r="AH5" i="15"/>
  <c r="AF6" i="14"/>
  <c r="AG5" i="14"/>
  <c r="BN6" i="11"/>
  <c r="BI6" i="11"/>
  <c r="AD6" i="11"/>
  <c r="AH6" i="15" l="1"/>
  <c r="AI5" i="15"/>
  <c r="AG6" i="14"/>
  <c r="AH5" i="14"/>
  <c r="BP5" i="11"/>
  <c r="BO6" i="11"/>
  <c r="BJ6" i="11"/>
  <c r="AE6" i="11"/>
  <c r="AJ5" i="15" l="1"/>
  <c r="AI6" i="15"/>
  <c r="AI5" i="14"/>
  <c r="AH6" i="14"/>
  <c r="BP6" i="11"/>
  <c r="BQ5" i="11"/>
  <c r="BR5" i="11" s="1"/>
  <c r="BK6" i="11"/>
  <c r="AF6" i="11"/>
  <c r="AK5" i="15" l="1"/>
  <c r="AJ6" i="15"/>
  <c r="AI6" i="14"/>
  <c r="AJ5" i="14"/>
  <c r="BQ6" i="11"/>
  <c r="AG6" i="11"/>
  <c r="AL5" i="15" l="1"/>
  <c r="AK6" i="15"/>
  <c r="AK4" i="15"/>
  <c r="AK5" i="14"/>
  <c r="AJ6" i="14"/>
  <c r="AJ4" i="14"/>
  <c r="BS5" i="11"/>
  <c r="BR6" i="11"/>
  <c r="AH6" i="11"/>
  <c r="AM5" i="15" l="1"/>
  <c r="AL6" i="15"/>
  <c r="AL5" i="14"/>
  <c r="AK6" i="14"/>
  <c r="BT5" i="11"/>
  <c r="BS6" i="11"/>
  <c r="BS4" i="11"/>
  <c r="AI6" i="11"/>
  <c r="AM6" i="15" l="1"/>
  <c r="AN5" i="15"/>
  <c r="AL6" i="14"/>
  <c r="AM5" i="14"/>
  <c r="BU5" i="11"/>
  <c r="BT6" i="11"/>
  <c r="AJ6" i="11"/>
  <c r="AN6" i="15" l="1"/>
  <c r="AO5" i="15"/>
  <c r="AM6" i="14"/>
  <c r="AN5" i="14"/>
  <c r="BU6" i="11"/>
  <c r="BV5" i="11"/>
  <c r="AK6" i="11"/>
  <c r="AO6" i="15" l="1"/>
  <c r="AP5" i="15"/>
  <c r="AN6" i="14"/>
  <c r="AO5" i="14"/>
  <c r="BW5" i="11"/>
  <c r="BV6" i="11"/>
  <c r="AL6" i="11"/>
  <c r="AP6" i="15" l="1"/>
  <c r="AQ5" i="15"/>
  <c r="AO6" i="14"/>
  <c r="AP5" i="14"/>
  <c r="BW6" i="11"/>
  <c r="BX5" i="11"/>
  <c r="AM6" i="11"/>
  <c r="AR5" i="15" l="1"/>
  <c r="AQ6" i="15"/>
  <c r="AQ5" i="14"/>
  <c r="AP6" i="14"/>
  <c r="BY5" i="11"/>
  <c r="BX6" i="11"/>
  <c r="AN6" i="11"/>
  <c r="AS5" i="15" l="1"/>
  <c r="AR4" i="15"/>
  <c r="AR6" i="15"/>
  <c r="AR5" i="14"/>
  <c r="AQ6" i="14"/>
  <c r="AQ4" i="14"/>
  <c r="BY6" i="11"/>
  <c r="BZ5" i="11"/>
  <c r="AO6" i="11"/>
  <c r="AT5" i="15" l="1"/>
  <c r="AS6" i="15"/>
  <c r="AS5" i="14"/>
  <c r="AR6" i="14"/>
  <c r="BZ4" i="11"/>
  <c r="BZ6" i="11"/>
  <c r="CA5" i="11"/>
  <c r="AP6" i="11"/>
  <c r="AU5" i="15" l="1"/>
  <c r="AT6" i="15"/>
  <c r="AT5" i="14"/>
  <c r="AS6" i="14"/>
  <c r="CB5" i="11"/>
  <c r="CA6" i="11"/>
  <c r="AQ6" i="11"/>
  <c r="AU6" i="15" l="1"/>
  <c r="AV5" i="15"/>
  <c r="AT6" i="14"/>
  <c r="AU5" i="14"/>
  <c r="CC5" i="11"/>
  <c r="CB6" i="11"/>
  <c r="AV6" i="15" l="1"/>
  <c r="AW5" i="15"/>
  <c r="AV5" i="14"/>
  <c r="AU6" i="14"/>
  <c r="CD5" i="11"/>
  <c r="CC6" i="11"/>
  <c r="AW6" i="15" l="1"/>
  <c r="AX5" i="15"/>
  <c r="AV6" i="14"/>
  <c r="AW5" i="14"/>
  <c r="CE5" i="11"/>
  <c r="CD6" i="11"/>
  <c r="AX6" i="15" l="1"/>
  <c r="AY5" i="15"/>
  <c r="AW6" i="14"/>
  <c r="AX5" i="14"/>
  <c r="CF5" i="11"/>
  <c r="CE6" i="11"/>
  <c r="AZ5" i="15" l="1"/>
  <c r="AY4" i="15"/>
  <c r="AY6" i="15"/>
  <c r="AX6" i="14"/>
  <c r="AY5" i="14"/>
  <c r="AX4" i="14"/>
  <c r="CF6" i="11"/>
  <c r="CG5" i="11"/>
  <c r="BA5" i="15" l="1"/>
  <c r="AZ6" i="15"/>
  <c r="AY6" i="14"/>
  <c r="AZ5" i="14"/>
  <c r="CH5" i="11"/>
  <c r="CG6" i="11"/>
  <c r="CG4" i="11"/>
  <c r="BB5" i="15" l="1"/>
  <c r="BA6" i="15"/>
  <c r="BA5" i="14"/>
  <c r="AZ6" i="14"/>
  <c r="CH6" i="11"/>
  <c r="CI5" i="11"/>
  <c r="BC5" i="15" l="1"/>
  <c r="BB6" i="15"/>
  <c r="BB5" i="14"/>
  <c r="BA6" i="14"/>
  <c r="CI6" i="11"/>
  <c r="CJ5" i="11"/>
  <c r="BC6" i="15" l="1"/>
  <c r="BD5" i="15"/>
  <c r="BC5" i="14"/>
  <c r="BB6" i="14"/>
  <c r="CK5" i="11"/>
  <c r="CJ6" i="11"/>
  <c r="BD6" i="15" l="1"/>
  <c r="BE5" i="15"/>
  <c r="BC6" i="14"/>
  <c r="BD5" i="14"/>
  <c r="CL5" i="11"/>
  <c r="CK6" i="11"/>
  <c r="BE6" i="15" l="1"/>
  <c r="BF5" i="15"/>
  <c r="BD6" i="14"/>
  <c r="BE5" i="14"/>
  <c r="CL6" i="11"/>
  <c r="CM5" i="11"/>
  <c r="BF6" i="15" l="1"/>
  <c r="BF4" i="15"/>
  <c r="BG5" i="15"/>
  <c r="BE6" i="14"/>
  <c r="BE4" i="14"/>
  <c r="BF5" i="14"/>
  <c r="CM6" i="11"/>
  <c r="CN5" i="11"/>
  <c r="BH5" i="15" l="1"/>
  <c r="BG6" i="15"/>
  <c r="BG5" i="14"/>
  <c r="BF6" i="14"/>
  <c r="CO5" i="11"/>
  <c r="CN6" i="11"/>
  <c r="CN4" i="11"/>
  <c r="BI5" i="15" l="1"/>
  <c r="BH6" i="15"/>
  <c r="BH5" i="14"/>
  <c r="BG6" i="14"/>
  <c r="CP5" i="11"/>
  <c r="CO6" i="11"/>
  <c r="BJ5" i="15" l="1"/>
  <c r="BI6" i="15"/>
  <c r="BI5" i="14"/>
  <c r="BH6" i="14"/>
  <c r="CP6" i="11"/>
  <c r="CQ5" i="11"/>
  <c r="BK5" i="15" l="1"/>
  <c r="BJ6" i="15"/>
  <c r="BJ5" i="14"/>
  <c r="BI6" i="14"/>
  <c r="CQ6" i="11"/>
  <c r="CR5" i="11"/>
  <c r="BK6" i="15" l="1"/>
  <c r="BL5" i="15"/>
  <c r="BJ6" i="14"/>
  <c r="BK5" i="14"/>
  <c r="CR6" i="11"/>
  <c r="CS5" i="11"/>
  <c r="BL6" i="15" l="1"/>
  <c r="BM5" i="15"/>
  <c r="BK6" i="14"/>
  <c r="BL5" i="14"/>
  <c r="CS6" i="11"/>
  <c r="CT5" i="11"/>
  <c r="BM6" i="15" l="1"/>
  <c r="BM4" i="15"/>
  <c r="BN5" i="15"/>
  <c r="BL6" i="14"/>
  <c r="BL4" i="14"/>
  <c r="BM5" i="14"/>
  <c r="CT6" i="11"/>
  <c r="CU5" i="11"/>
  <c r="BN6" i="15" l="1"/>
  <c r="BO5" i="15"/>
  <c r="BM6" i="14"/>
  <c r="BN5" i="14"/>
  <c r="CU4" i="11"/>
  <c r="CU6" i="11"/>
  <c r="CV5" i="11"/>
  <c r="BP5" i="15" l="1"/>
  <c r="BO6" i="15"/>
  <c r="BO5" i="14"/>
  <c r="BN6" i="14"/>
  <c r="CV6" i="11"/>
  <c r="CW5" i="11"/>
  <c r="BQ5" i="15" l="1"/>
  <c r="BP6" i="15"/>
  <c r="BO6" i="14"/>
  <c r="BP5" i="14"/>
  <c r="CX5" i="11"/>
  <c r="CW6" i="11"/>
  <c r="BR5" i="15" l="1"/>
  <c r="BQ6" i="15"/>
  <c r="BQ5" i="14"/>
  <c r="BP6" i="14"/>
  <c r="CX6" i="11"/>
  <c r="CY5" i="11"/>
  <c r="BS5" i="15" l="1"/>
  <c r="BR6" i="15"/>
  <c r="BR5" i="14"/>
  <c r="BQ6" i="14"/>
  <c r="CZ5" i="11"/>
  <c r="CY6" i="11"/>
  <c r="BS6" i="15" l="1"/>
  <c r="BT5" i="15"/>
  <c r="BR6" i="14"/>
  <c r="BS5" i="14"/>
  <c r="DA5" i="11"/>
  <c r="CZ6" i="11"/>
  <c r="BT4" i="15" l="1"/>
  <c r="BT6" i="15"/>
  <c r="BU5" i="15"/>
  <c r="BS4" i="14"/>
  <c r="BT5" i="14"/>
  <c r="BS6" i="14"/>
  <c r="DB5" i="11"/>
  <c r="DA6" i="11"/>
  <c r="BU6" i="15" l="1"/>
  <c r="BV5" i="15"/>
  <c r="BT6" i="14"/>
  <c r="BU5" i="14"/>
  <c r="DC5" i="11"/>
  <c r="DB6" i="11"/>
  <c r="DB4" i="11"/>
  <c r="BV6" i="15" l="1"/>
  <c r="BW5" i="15"/>
  <c r="BU6" i="14"/>
  <c r="BV5" i="14"/>
  <c r="DD5" i="11"/>
  <c r="DC6" i="11"/>
  <c r="BX5" i="15" l="1"/>
  <c r="BW6" i="15"/>
  <c r="BW5" i="14"/>
  <c r="BV6" i="14"/>
  <c r="DD6" i="11"/>
  <c r="DE5" i="11"/>
  <c r="BY5" i="15" l="1"/>
  <c r="BX6" i="15"/>
  <c r="BX5" i="14"/>
  <c r="BW6" i="14"/>
  <c r="DE6" i="11"/>
  <c r="DF5" i="11"/>
  <c r="BZ5" i="15" l="1"/>
  <c r="BY6" i="15"/>
  <c r="BY5" i="14"/>
  <c r="BX6" i="14"/>
  <c r="DG5" i="11"/>
  <c r="DF6" i="11"/>
  <c r="CA5" i="15" l="1"/>
  <c r="BZ6" i="15"/>
  <c r="BZ5" i="14"/>
  <c r="BY6" i="14"/>
  <c r="DH5" i="11"/>
  <c r="DG6" i="11"/>
  <c r="CA6" i="15" l="1"/>
  <c r="CB5" i="15"/>
  <c r="CA4" i="15"/>
  <c r="BZ6" i="14"/>
  <c r="BZ4" i="14"/>
  <c r="CA5" i="14"/>
  <c r="DI5" i="11"/>
  <c r="DH6" i="11"/>
  <c r="CB6" i="15" l="1"/>
  <c r="CC5" i="15"/>
  <c r="CB5" i="14"/>
  <c r="CA6" i="14"/>
  <c r="DJ5" i="11"/>
  <c r="DI4" i="11"/>
  <c r="DI6" i="11"/>
  <c r="CC6" i="15" l="1"/>
  <c r="CD5" i="15"/>
  <c r="CB6" i="14"/>
  <c r="CC5" i="14"/>
  <c r="DJ6" i="11"/>
  <c r="DK5" i="11"/>
  <c r="CD6" i="15" l="1"/>
  <c r="CE5" i="15"/>
  <c r="CC6" i="14"/>
  <c r="CD5" i="14"/>
  <c r="DK6" i="11"/>
  <c r="DL5" i="11"/>
  <c r="CF5" i="15" l="1"/>
  <c r="CE6" i="15"/>
  <c r="CE5" i="14"/>
  <c r="CD6" i="14"/>
  <c r="DL6" i="11"/>
  <c r="DM5" i="11"/>
  <c r="CG5" i="15" l="1"/>
  <c r="CF6" i="15"/>
  <c r="CE6" i="14"/>
  <c r="CF5" i="14"/>
  <c r="DM6" i="11"/>
  <c r="DN5" i="11"/>
  <c r="CH5" i="15" l="1"/>
  <c r="CG6" i="15"/>
  <c r="CG5" i="14"/>
  <c r="CF6" i="14"/>
  <c r="DO5" i="11"/>
  <c r="DN6" i="11"/>
  <c r="CI5" i="15" l="1"/>
  <c r="CH6" i="15"/>
  <c r="CH4" i="15"/>
  <c r="CH5" i="14"/>
  <c r="CG4" i="14"/>
  <c r="CG6" i="14"/>
  <c r="DP5" i="11"/>
  <c r="DO6" i="11"/>
  <c r="CI6" i="15" l="1"/>
  <c r="CJ5" i="15"/>
  <c r="CI5" i="14"/>
  <c r="CH6" i="14"/>
  <c r="DQ5" i="11"/>
  <c r="DP4" i="11"/>
  <c r="DP6" i="11"/>
  <c r="CJ6" i="15" l="1"/>
  <c r="CK5" i="15"/>
  <c r="CI6" i="14"/>
  <c r="CJ5" i="14"/>
  <c r="DR5" i="11"/>
  <c r="DQ6" i="11"/>
  <c r="CK6" i="15" l="1"/>
  <c r="CL5" i="15"/>
  <c r="CJ6" i="14"/>
  <c r="CK5" i="14"/>
  <c r="DS5" i="11"/>
  <c r="DR6" i="11"/>
  <c r="CL6" i="15" l="1"/>
  <c r="CM5" i="15"/>
  <c r="CK6" i="14"/>
  <c r="CL5" i="14"/>
  <c r="DT5" i="11"/>
  <c r="DS6" i="11"/>
  <c r="CN5" i="15" l="1"/>
  <c r="CM6" i="15"/>
  <c r="CM5" i="14"/>
  <c r="CL6" i="14"/>
  <c r="DT6" i="11"/>
  <c r="DU5" i="11"/>
  <c r="CO5" i="15" l="1"/>
  <c r="CN6" i="15"/>
  <c r="CN5" i="14"/>
  <c r="CM6" i="14"/>
  <c r="DU6" i="11"/>
  <c r="DV5" i="11"/>
  <c r="CP5" i="15" l="1"/>
  <c r="CO6" i="15"/>
  <c r="CO4" i="15"/>
  <c r="CO5" i="14"/>
  <c r="CN6" i="14"/>
  <c r="CN4" i="14"/>
  <c r="DV6" i="11"/>
  <c r="DW5" i="11"/>
  <c r="CQ5" i="15" l="1"/>
  <c r="CP6" i="15"/>
  <c r="CP5" i="14"/>
  <c r="CO6" i="14"/>
  <c r="DX5" i="11"/>
  <c r="DW4" i="11"/>
  <c r="DW6" i="11"/>
  <c r="CQ6" i="15" l="1"/>
  <c r="CR5" i="15"/>
  <c r="CP6" i="14"/>
  <c r="CQ5" i="14"/>
  <c r="DX6" i="11"/>
  <c r="DY5" i="11"/>
  <c r="CR6" i="15" l="1"/>
  <c r="CS5" i="15"/>
  <c r="CR5" i="14"/>
  <c r="CQ6" i="14"/>
  <c r="DZ5" i="11"/>
  <c r="DY6" i="11"/>
  <c r="CS6" i="15" l="1"/>
  <c r="CT5" i="15"/>
  <c r="CR6" i="14"/>
  <c r="CS5" i="14"/>
  <c r="EA5" i="11"/>
  <c r="DZ6" i="11"/>
  <c r="CT6" i="15" l="1"/>
  <c r="CU5" i="15"/>
  <c r="CS6" i="14"/>
  <c r="CT5" i="14"/>
  <c r="EB5" i="11"/>
  <c r="EA6" i="11"/>
  <c r="CV5" i="15" l="1"/>
  <c r="CU6" i="15"/>
  <c r="CU5" i="14"/>
  <c r="CT6" i="14"/>
  <c r="EC5" i="11"/>
  <c r="EB6" i="11"/>
  <c r="CW5" i="15" l="1"/>
  <c r="CV4" i="15"/>
  <c r="CV6" i="15"/>
  <c r="CU6" i="14"/>
  <c r="CV5" i="14"/>
  <c r="CU4" i="14"/>
  <c r="ED5" i="11"/>
  <c r="EC6" i="11"/>
  <c r="CX5" i="15" l="1"/>
  <c r="CW6" i="15"/>
  <c r="CW5" i="14"/>
  <c r="CV6" i="14"/>
  <c r="EE5" i="11"/>
  <c r="ED6" i="11"/>
  <c r="ED4" i="11"/>
  <c r="CY5" i="15" l="1"/>
  <c r="CX6" i="15"/>
  <c r="CX5" i="14"/>
  <c r="CW6" i="14"/>
  <c r="EE6" i="11"/>
  <c r="EF5" i="11"/>
  <c r="CY6" i="15" l="1"/>
  <c r="CZ5" i="15"/>
  <c r="CX6" i="14"/>
  <c r="CY5" i="14"/>
  <c r="EF6" i="11"/>
  <c r="EG5" i="11"/>
  <c r="CZ6" i="15" l="1"/>
  <c r="DA5" i="15"/>
  <c r="CY6" i="14"/>
  <c r="CZ5" i="14"/>
  <c r="EH5" i="11"/>
  <c r="EG6" i="11"/>
  <c r="DA6" i="15" l="1"/>
  <c r="DB5" i="15"/>
  <c r="CZ6" i="14"/>
  <c r="DA5" i="14"/>
  <c r="EI5" i="11"/>
  <c r="EH6" i="11"/>
  <c r="DB6" i="15" l="1"/>
  <c r="DC5" i="15"/>
  <c r="DA6" i="14"/>
  <c r="DB5" i="14"/>
  <c r="EJ5" i="11"/>
  <c r="EI6" i="11"/>
  <c r="DD5" i="15" l="1"/>
  <c r="DC4" i="15"/>
  <c r="DC6" i="15"/>
  <c r="DC5" i="14"/>
  <c r="DB4" i="14"/>
  <c r="DB6" i="14"/>
  <c r="EK5" i="11"/>
  <c r="EJ6" i="11"/>
  <c r="DE5" i="15" l="1"/>
  <c r="DD6" i="15"/>
  <c r="DD5" i="14"/>
  <c r="DC6" i="14"/>
  <c r="EK4" i="11"/>
  <c r="EL5" i="11"/>
  <c r="EK6" i="11"/>
  <c r="DF5" i="15" l="1"/>
  <c r="DE6" i="15"/>
  <c r="DE5" i="14"/>
  <c r="DD6" i="14"/>
  <c r="EL6" i="11"/>
  <c r="EM5" i="11"/>
  <c r="DG5" i="15" l="1"/>
  <c r="DF6" i="15"/>
  <c r="DF5" i="14"/>
  <c r="DE6" i="14"/>
  <c r="EN5" i="11"/>
  <c r="EM6" i="11"/>
  <c r="DG6" i="15" l="1"/>
  <c r="DH5" i="15"/>
  <c r="DF6" i="14"/>
  <c r="DG5" i="14"/>
  <c r="EN6" i="11"/>
  <c r="EO5" i="11"/>
  <c r="DH6" i="15" l="1"/>
  <c r="DI5" i="15"/>
  <c r="DH5" i="14"/>
  <c r="DG6" i="14"/>
  <c r="EO6" i="11"/>
  <c r="EP5" i="11"/>
  <c r="DI6" i="15" l="1"/>
  <c r="DJ5" i="15"/>
  <c r="DH6" i="14"/>
  <c r="DI5" i="14"/>
  <c r="EQ5" i="11"/>
  <c r="EP6" i="11"/>
  <c r="DJ6" i="15" l="1"/>
  <c r="DJ4" i="15"/>
  <c r="DK5" i="15"/>
  <c r="DI6" i="14"/>
  <c r="DI4" i="14"/>
  <c r="DJ5" i="14"/>
  <c r="ER5" i="11"/>
  <c r="EQ6" i="11"/>
  <c r="DL5" i="15" l="1"/>
  <c r="DK6" i="15"/>
  <c r="DJ6" i="14"/>
  <c r="DK5" i="14"/>
  <c r="ER4" i="11"/>
  <c r="ES5" i="11"/>
  <c r="ER6" i="11"/>
  <c r="DM5" i="15" l="1"/>
  <c r="DL6" i="15"/>
  <c r="DK6" i="14"/>
  <c r="DL5" i="14"/>
  <c r="ET5" i="11"/>
  <c r="ES6" i="11"/>
  <c r="DN5" i="15" l="1"/>
  <c r="DM6" i="15"/>
  <c r="DM5" i="14"/>
  <c r="DL6" i="14"/>
  <c r="ET6" i="11"/>
  <c r="EU5" i="11"/>
  <c r="DO5" i="15" l="1"/>
  <c r="DN6" i="15"/>
  <c r="DN5" i="14"/>
  <c r="DM6" i="14"/>
  <c r="EV5" i="11"/>
  <c r="EU6" i="11"/>
  <c r="DO6" i="15" l="1"/>
  <c r="DP5" i="15"/>
  <c r="DO5" i="14"/>
  <c r="DN6" i="14"/>
  <c r="EV6" i="11"/>
  <c r="EW5" i="11"/>
  <c r="DP6" i="15" l="1"/>
  <c r="DQ5" i="15"/>
  <c r="DP5" i="14"/>
  <c r="DO6" i="14"/>
  <c r="EX5" i="11"/>
  <c r="EW6" i="11"/>
  <c r="DQ6" i="15" l="1"/>
  <c r="DQ4" i="15"/>
  <c r="DR5" i="15"/>
  <c r="DP6" i="14"/>
  <c r="DP4" i="14"/>
  <c r="DQ5" i="14"/>
  <c r="EY5" i="11"/>
  <c r="EX6" i="11"/>
  <c r="DR6" i="15" l="1"/>
  <c r="DS5" i="15"/>
  <c r="DQ6" i="14"/>
  <c r="DR5" i="14"/>
  <c r="EZ5" i="11"/>
  <c r="EY4" i="11"/>
  <c r="EY6" i="11"/>
  <c r="DT5" i="15" l="1"/>
  <c r="DS6" i="15"/>
  <c r="DS5" i="14"/>
  <c r="DR6" i="14"/>
  <c r="FA5" i="11"/>
  <c r="EZ6" i="11"/>
  <c r="DU5" i="15" l="1"/>
  <c r="DT6" i="15"/>
  <c r="DT5" i="14"/>
  <c r="DS6" i="14"/>
  <c r="FA6" i="11"/>
  <c r="FB5" i="11"/>
  <c r="DV5" i="15" l="1"/>
  <c r="DU6" i="15"/>
  <c r="DU5" i="14"/>
  <c r="DT6" i="14"/>
  <c r="FC5" i="11"/>
  <c r="FB6" i="11"/>
  <c r="DW5" i="15" l="1"/>
  <c r="DV6" i="15"/>
  <c r="DV5" i="14"/>
  <c r="DU6" i="14"/>
  <c r="FC6" i="11"/>
  <c r="FD5" i="11"/>
  <c r="DW6" i="15" l="1"/>
  <c r="DX5" i="15"/>
  <c r="DV6" i="14"/>
  <c r="DW5" i="14"/>
  <c r="FD6" i="11"/>
  <c r="FE5" i="11"/>
  <c r="DX4" i="15" l="1"/>
  <c r="DX6" i="15"/>
  <c r="DY5" i="15"/>
  <c r="DW4" i="14"/>
  <c r="DW6" i="14"/>
  <c r="DX5" i="14"/>
  <c r="FF5" i="11"/>
  <c r="FE6" i="11"/>
  <c r="DY6" i="15" l="1"/>
  <c r="DZ5" i="15"/>
  <c r="DX6" i="14"/>
  <c r="DY5" i="14"/>
  <c r="FG5" i="11"/>
  <c r="FF6" i="11"/>
  <c r="FF4" i="11"/>
  <c r="DZ6" i="15" l="1"/>
  <c r="EA5" i="15"/>
  <c r="DY6" i="14"/>
  <c r="DZ5" i="14"/>
  <c r="FH5" i="11"/>
  <c r="FG6" i="11"/>
  <c r="EB5" i="15" l="1"/>
  <c r="EA6" i="15"/>
  <c r="EA5" i="14"/>
  <c r="DZ6" i="14"/>
  <c r="FH6" i="11"/>
  <c r="FI5" i="11"/>
  <c r="EC5" i="15" l="1"/>
  <c r="EB6" i="15"/>
  <c r="EA6" i="14"/>
  <c r="EB5" i="14"/>
  <c r="FJ5" i="11"/>
  <c r="FI6" i="11"/>
  <c r="ED5" i="15" l="1"/>
  <c r="EC6" i="15"/>
  <c r="EC5" i="14"/>
  <c r="EB6" i="14"/>
  <c r="FK5" i="11"/>
  <c r="FJ6" i="11"/>
  <c r="EE5" i="15" l="1"/>
  <c r="ED6" i="15"/>
  <c r="ED5" i="14"/>
  <c r="EC6" i="14"/>
  <c r="FL5" i="11"/>
  <c r="FK6" i="11"/>
  <c r="EE6" i="15" l="1"/>
  <c r="EF5" i="15"/>
  <c r="EE4" i="15"/>
  <c r="EE5" i="14"/>
  <c r="ED6" i="14"/>
  <c r="ED4" i="14"/>
  <c r="FL6" i="11"/>
  <c r="FM5" i="11"/>
  <c r="EF6" i="15" l="1"/>
  <c r="EG5" i="15"/>
  <c r="EE6" i="14"/>
  <c r="EF5" i="14"/>
  <c r="FN5" i="11"/>
  <c r="FM4" i="11"/>
  <c r="FM6" i="11"/>
  <c r="EG6" i="15" l="1"/>
  <c r="EH5" i="15"/>
  <c r="EF6" i="14"/>
  <c r="EG5" i="14"/>
  <c r="FO5" i="11"/>
  <c r="FN6" i="11"/>
  <c r="EH6" i="15" l="1"/>
  <c r="EI5" i="15"/>
  <c r="EG6" i="14"/>
  <c r="EH5" i="14"/>
  <c r="FO6" i="11"/>
  <c r="FP5" i="11"/>
  <c r="EJ5" i="15" l="1"/>
  <c r="EI6" i="15"/>
  <c r="EI5" i="14"/>
  <c r="EH6" i="14"/>
  <c r="FQ5" i="11"/>
  <c r="FP6" i="11"/>
  <c r="EK5" i="15" l="1"/>
  <c r="EJ6" i="15"/>
  <c r="EJ5" i="14"/>
  <c r="EI6" i="14"/>
  <c r="FR5" i="11"/>
  <c r="FQ6" i="11"/>
  <c r="EL5" i="15" l="1"/>
  <c r="EK6" i="15"/>
  <c r="EK5" i="14"/>
  <c r="EJ6" i="14"/>
  <c r="FS5" i="11"/>
  <c r="FR6" i="11"/>
  <c r="EM5" i="15" l="1"/>
  <c r="EL6" i="15"/>
  <c r="EL4" i="15"/>
  <c r="EL5" i="14"/>
  <c r="EK6" i="14"/>
  <c r="EK4" i="14"/>
  <c r="FS6" i="11"/>
  <c r="FT5" i="11"/>
  <c r="EM6" i="15" l="1"/>
  <c r="EN5" i="15"/>
  <c r="EL6" i="14"/>
  <c r="EM5" i="14"/>
  <c r="FU5" i="11"/>
  <c r="FT6" i="11"/>
  <c r="FT4" i="11"/>
  <c r="EN6" i="15" l="1"/>
  <c r="EO5" i="15"/>
  <c r="EN5" i="14"/>
  <c r="EM6" i="14"/>
  <c r="FU6" i="11"/>
  <c r="FV5" i="11"/>
  <c r="EO6" i="15" l="1"/>
  <c r="EP5" i="15"/>
  <c r="EN6" i="14"/>
  <c r="EO5" i="14"/>
  <c r="FV6" i="11"/>
  <c r="FW5" i="11"/>
  <c r="EP6" i="15" l="1"/>
  <c r="EQ5" i="15"/>
  <c r="EO6" i="14"/>
  <c r="EP5" i="14"/>
  <c r="FX5" i="11"/>
  <c r="FW6" i="11"/>
  <c r="ER5" i="15" l="1"/>
  <c r="EQ6" i="15"/>
  <c r="EQ5" i="14"/>
  <c r="EP6" i="14"/>
  <c r="FX6" i="11"/>
  <c r="FY5" i="11"/>
  <c r="ES5" i="15" l="1"/>
  <c r="ER6" i="15"/>
  <c r="ER5" i="14"/>
  <c r="EQ6" i="14"/>
  <c r="FZ5" i="11"/>
  <c r="FY6" i="11"/>
  <c r="ET5" i="15" l="1"/>
  <c r="ES6" i="15"/>
  <c r="ES4" i="15"/>
  <c r="ES5" i="14"/>
  <c r="ER6" i="14"/>
  <c r="ER4" i="14"/>
  <c r="GA5" i="11"/>
  <c r="FZ6" i="11"/>
  <c r="EU5" i="15" l="1"/>
  <c r="ET6" i="15"/>
  <c r="ET5" i="14"/>
  <c r="ES6" i="14"/>
  <c r="GA4" i="11"/>
  <c r="GB5" i="11"/>
  <c r="GA6" i="11"/>
  <c r="EU6" i="15" l="1"/>
  <c r="EV5" i="15"/>
  <c r="EU5" i="14"/>
  <c r="ET6" i="14"/>
  <c r="GC5" i="11"/>
  <c r="GB6" i="11"/>
  <c r="EV6" i="15" l="1"/>
  <c r="EW5" i="15"/>
  <c r="EV5" i="14"/>
  <c r="EU6" i="14"/>
  <c r="GC6" i="11"/>
  <c r="GD5" i="11"/>
  <c r="EW6" i="15" l="1"/>
  <c r="EX5" i="15"/>
  <c r="EV6" i="14"/>
  <c r="EW5" i="14"/>
  <c r="GD6" i="11"/>
  <c r="GE5" i="11"/>
  <c r="EX6" i="15" l="1"/>
  <c r="EY5" i="15"/>
  <c r="EW6" i="14"/>
  <c r="EX5" i="14"/>
  <c r="GE6" i="11"/>
  <c r="GF5" i="11"/>
  <c r="EZ5" i="15" l="1"/>
  <c r="EY6" i="15"/>
  <c r="EY5" i="14"/>
  <c r="EX6" i="14"/>
  <c r="GG5" i="11"/>
  <c r="GF6" i="11"/>
  <c r="FA5" i="15" l="1"/>
  <c r="EZ4" i="15"/>
  <c r="EZ6" i="15"/>
  <c r="EY6" i="14"/>
  <c r="EZ5" i="14"/>
  <c r="EY4" i="14"/>
  <c r="GH5" i="11"/>
  <c r="GG6" i="11"/>
  <c r="FB5" i="15" l="1"/>
  <c r="FA6" i="15"/>
  <c r="FA5" i="14"/>
  <c r="EZ6" i="14"/>
  <c r="GH4" i="11"/>
  <c r="GH6" i="11"/>
  <c r="GI5" i="11"/>
  <c r="FC5" i="15" l="1"/>
  <c r="FB6" i="15"/>
  <c r="FB5" i="14"/>
  <c r="FA6" i="14"/>
  <c r="GJ5" i="11"/>
  <c r="GI6" i="11"/>
  <c r="FC6" i="15" l="1"/>
  <c r="FD5" i="15"/>
  <c r="FB6" i="14"/>
  <c r="FC5" i="14"/>
  <c r="GK5" i="11"/>
  <c r="GJ6" i="11"/>
  <c r="FD6" i="15" l="1"/>
  <c r="FE5" i="15"/>
  <c r="FC6" i="14"/>
  <c r="FD5" i="14"/>
  <c r="GK6" i="11"/>
  <c r="GL5" i="11"/>
  <c r="GM5" i="11" s="1"/>
  <c r="FE6" i="15" l="1"/>
  <c r="FF5" i="15"/>
  <c r="FD6" i="14"/>
  <c r="FE5" i="14"/>
  <c r="GN5" i="11"/>
  <c r="GN6" i="11" s="1"/>
  <c r="GM6" i="11"/>
  <c r="GL6" i="11"/>
  <c r="FF6" i="15" l="1"/>
  <c r="FG5" i="15"/>
  <c r="FE6" i="14"/>
  <c r="FF5" i="14"/>
  <c r="FH5" i="15" l="1"/>
  <c r="FG4" i="15"/>
  <c r="FG6" i="15"/>
  <c r="FG5" i="14"/>
  <c r="FF4" i="14"/>
  <c r="FF6" i="14"/>
  <c r="FI5" i="15" l="1"/>
  <c r="FH6" i="15"/>
  <c r="FH5" i="14"/>
  <c r="FG6" i="14"/>
  <c r="FJ5" i="15" l="1"/>
  <c r="FI6" i="15"/>
  <c r="FI5" i="14"/>
  <c r="FH6" i="14"/>
  <c r="FK5" i="15" l="1"/>
  <c r="FJ6" i="15"/>
  <c r="FJ5" i="14"/>
  <c r="FI6" i="14"/>
  <c r="FK6" i="15" l="1"/>
  <c r="FL5" i="15"/>
  <c r="FJ6" i="14"/>
  <c r="FK5" i="14"/>
  <c r="FL6" i="15" l="1"/>
  <c r="FM5" i="15"/>
  <c r="FK6" i="14"/>
  <c r="FL5" i="14"/>
  <c r="FM6" i="15" l="1"/>
  <c r="FN5" i="15"/>
  <c r="FL6" i="14"/>
  <c r="FM5" i="14"/>
  <c r="FN6" i="15" l="1"/>
  <c r="FN4" i="15"/>
  <c r="FO5" i="15"/>
  <c r="FM6" i="14"/>
  <c r="FM4" i="14"/>
  <c r="FN5" i="14"/>
  <c r="FP5" i="15" l="1"/>
  <c r="FO6" i="15"/>
  <c r="FO5" i="14"/>
  <c r="FN6" i="14"/>
  <c r="FQ5" i="15" l="1"/>
  <c r="FP6" i="15"/>
  <c r="FO6" i="14"/>
  <c r="FP5" i="14"/>
  <c r="FR5" i="15" l="1"/>
  <c r="FQ6" i="15"/>
  <c r="FQ5" i="14"/>
  <c r="FP6" i="14"/>
  <c r="FS5" i="15" l="1"/>
  <c r="FR6" i="15"/>
  <c r="FR5" i="14"/>
  <c r="FQ6" i="14"/>
  <c r="FS6" i="15" l="1"/>
  <c r="FT5" i="15"/>
  <c r="FR6" i="14"/>
  <c r="FS5" i="14"/>
  <c r="FT6" i="15" l="1"/>
  <c r="FU5" i="15"/>
  <c r="FT5" i="14"/>
  <c r="FS6" i="14"/>
  <c r="FU6" i="15" l="1"/>
  <c r="FU4" i="15"/>
  <c r="FV5" i="15"/>
  <c r="FT6" i="14"/>
  <c r="FT4" i="14"/>
  <c r="FU5" i="14"/>
  <c r="FV6" i="15" l="1"/>
  <c r="FW5" i="15"/>
  <c r="FU6" i="14"/>
  <c r="FV5" i="14"/>
  <c r="FX5" i="15" l="1"/>
  <c r="FW6" i="15"/>
  <c r="FW5" i="14"/>
  <c r="FV6" i="14"/>
  <c r="FY5" i="15" l="1"/>
  <c r="FX6" i="15"/>
  <c r="FX5" i="14"/>
  <c r="FW6" i="14"/>
  <c r="FZ5" i="15" l="1"/>
  <c r="FY6" i="15"/>
  <c r="FY5" i="14"/>
  <c r="FX6" i="14"/>
  <c r="GA5" i="15" l="1"/>
  <c r="FZ6" i="15"/>
  <c r="FZ5" i="14"/>
  <c r="FY6" i="14"/>
  <c r="GA6" i="15" l="1"/>
  <c r="GB5" i="15"/>
  <c r="FZ6" i="14"/>
  <c r="GA5" i="14"/>
  <c r="GB4" i="15" l="1"/>
  <c r="GB6" i="15"/>
  <c r="GC5" i="15"/>
  <c r="GA4" i="14"/>
  <c r="GB5" i="14"/>
  <c r="GA6" i="14"/>
  <c r="GC6" i="15" l="1"/>
  <c r="GD5" i="15"/>
  <c r="GB6" i="14"/>
  <c r="GC5" i="14"/>
  <c r="GD6" i="15" l="1"/>
  <c r="GE5" i="15"/>
  <c r="GC6" i="14"/>
  <c r="GD5" i="14"/>
  <c r="GF5" i="15" l="1"/>
  <c r="GE6" i="15"/>
  <c r="GE5" i="14"/>
  <c r="GD6" i="14"/>
  <c r="GG5" i="15" l="1"/>
  <c r="GF6" i="15"/>
  <c r="GE6" i="14"/>
  <c r="GF5" i="14"/>
  <c r="GH5" i="15" l="1"/>
  <c r="GG6" i="15"/>
  <c r="GG5" i="14"/>
  <c r="GF6" i="14"/>
  <c r="GI5" i="15" l="1"/>
  <c r="GH6" i="15"/>
  <c r="GH5" i="14"/>
  <c r="GG6" i="14"/>
  <c r="GI6" i="15" l="1"/>
  <c r="GJ5" i="15"/>
  <c r="GI4" i="15"/>
  <c r="GI5" i="14"/>
  <c r="GH6" i="14"/>
  <c r="GH4" i="14"/>
  <c r="GJ6" i="15" l="1"/>
  <c r="GK5" i="15"/>
  <c r="GI6" i="14"/>
  <c r="GJ5" i="14"/>
  <c r="GK6" i="15" l="1"/>
  <c r="GL5" i="15"/>
  <c r="GJ6" i="14"/>
  <c r="GK5" i="14"/>
  <c r="GL6" i="15" l="1"/>
  <c r="GM5" i="15"/>
  <c r="GK6" i="14"/>
  <c r="GL5" i="14"/>
  <c r="GN5" i="15" l="1"/>
  <c r="GM6" i="15"/>
  <c r="GM5" i="14"/>
  <c r="GL6" i="14"/>
  <c r="GO5" i="15" l="1"/>
  <c r="GO6" i="15" s="1"/>
  <c r="GN6" i="15"/>
  <c r="GN5" i="14"/>
  <c r="GN6" i="14" s="1"/>
  <c r="GM6" i="14"/>
</calcChain>
</file>

<file path=xl/sharedStrings.xml><?xml version="1.0" encoding="utf-8"?>
<sst xmlns="http://schemas.openxmlformats.org/spreadsheetml/2006/main" count="146" uniqueCount="87">
  <si>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</si>
  <si>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</si>
  <si>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</si>
  <si>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</si>
  <si>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</si>
  <si>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</si>
  <si>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</si>
  <si>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</si>
  <si>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</si>
  <si>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</si>
  <si>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</si>
  <si>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</si>
  <si>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</si>
  <si>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</si>
  <si>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</si>
  <si>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</si>
  <si>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</si>
  <si>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</si>
  <si>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</si>
  <si>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</si>
  <si>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</si>
  <si>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Projet PFE</t>
  </si>
  <si>
    <t>PFE 2026 - AI-powered Chatbot for GitHub</t>
  </si>
  <si>
    <t>Exploration Repo Github</t>
  </si>
  <si>
    <t>Cadrage besoin ST + Choix Stack</t>
  </si>
  <si>
    <t>Architecture RAG</t>
  </si>
  <si>
    <t>Cadrage et Architecture (Mois 1)</t>
  </si>
  <si>
    <t>Collecte et prétraitement (Mois 2)</t>
  </si>
  <si>
    <t>Backend RAG (Mois 3)</t>
  </si>
  <si>
    <t>Intégration GenAI (Mois 4)</t>
  </si>
  <si>
    <t>Amélioration , Evaluation (Mois 5)</t>
  </si>
  <si>
    <t>Finalisation, Documentation (Mois 6)</t>
  </si>
  <si>
    <t>Vector DB + Indexation embeddings</t>
  </si>
  <si>
    <t xml:space="preserve">Service de retrieval + API / Search </t>
  </si>
  <si>
    <t>Affinage Scoring</t>
  </si>
  <si>
    <t>Intégration LLM + service answer Question</t>
  </si>
  <si>
    <t>Interface + Tests</t>
  </si>
  <si>
    <t xml:space="preserve">Feedback + affinage prompt / filtres </t>
  </si>
  <si>
    <t>Evaluation (Jeu de tests)</t>
  </si>
  <si>
    <t>Evaluation (mesures de qualité)</t>
  </si>
  <si>
    <t xml:space="preserve">Stablisation Technique </t>
  </si>
  <si>
    <t>Rédaction rapport et documentation</t>
  </si>
  <si>
    <t xml:space="preserve">Préparation démo et slides de soutenance </t>
  </si>
  <si>
    <t xml:space="preserve">Filtres Avancés </t>
  </si>
  <si>
    <t xml:space="preserve">Ingestion fichiers repos STM32Cube </t>
  </si>
  <si>
    <t xml:space="preserve">Ingestion issues GitHub STM32Cube </t>
  </si>
  <si>
    <t xml:space="preserve"> </t>
  </si>
  <si>
    <t>Prétraitement (cleaning, chunking,métadonnées)</t>
  </si>
  <si>
    <t>Le vecteur sert à chercher les chunks pertinents, le payload sert à filtrer et à construire la réponse en citant les bonnes sources</t>
  </si>
  <si>
    <t>DEPENDANCES</t>
  </si>
  <si>
    <t>aucune</t>
  </si>
  <si>
    <t>Analyse besoin ST + contraintes moteur RAG interne</t>
  </si>
  <si>
    <t xml:space="preserve">Exploration repos GitHub </t>
  </si>
  <si>
    <t>Architecture globale de la solution</t>
  </si>
  <si>
    <t>%</t>
  </si>
  <si>
    <t>Pipeline de données (Mois 2)</t>
  </si>
  <si>
    <t>Custom RAG &amp; Préparation ST RAG (Mois 3)</t>
  </si>
  <si>
    <t>Intégration &amp; Évaluation automatisée (Mois 4)</t>
  </si>
  <si>
    <t>Évaluation &amp; Comparaison (Mois 5)</t>
  </si>
  <si>
    <t>Finalisation, Documentation, Soutenance (Mois 6)</t>
  </si>
  <si>
    <t>Ingestion fichiers de Repos</t>
  </si>
  <si>
    <t xml:space="preserve">Ingestion issues GitHub </t>
  </si>
  <si>
    <t>Schéma commun + métadonnées STM32Cube</t>
  </si>
  <si>
    <t>Génération chunks V1</t>
  </si>
  <si>
    <t>Cleaning issues  + test</t>
  </si>
  <si>
    <t>Cleaning docs + test</t>
  </si>
  <si>
    <r>
      <rPr>
        <b/>
        <sz val="10"/>
        <color theme="1"/>
        <rFont val="Arial"/>
        <family val="2"/>
        <scheme val="minor"/>
      </rPr>
      <t>Custom RAG</t>
    </r>
    <r>
      <rPr>
        <sz val="10"/>
        <color theme="1"/>
        <rFont val="Arial"/>
        <family val="2"/>
        <scheme val="minor"/>
      </rPr>
      <t xml:space="preserve"> - Conception règles de chunking V2 (tailles, paragraphes, etc.)</t>
    </r>
  </si>
  <si>
    <r>
      <rPr>
        <b/>
        <sz val="10"/>
        <color theme="1"/>
        <rFont val="Arial"/>
        <family val="2"/>
        <scheme val="minor"/>
      </rPr>
      <t>Custom RAG</t>
    </r>
    <r>
      <rPr>
        <sz val="10"/>
        <color theme="1"/>
        <rFont val="Arial"/>
        <family val="2"/>
        <scheme val="minor"/>
      </rPr>
      <t xml:space="preserve"> - Génération chunks V2 (issues + docs)</t>
    </r>
  </si>
  <si>
    <t xml:space="preserve"> PC hors domaine ST</t>
  </si>
  <si>
    <r>
      <rPr>
        <b/>
        <sz val="10"/>
        <color theme="1"/>
        <rFont val="Arial"/>
        <family val="2"/>
        <scheme val="minor"/>
      </rPr>
      <t>ST RAG</t>
    </r>
    <r>
      <rPr>
        <sz val="10"/>
        <color theme="1"/>
        <rFont val="Arial"/>
        <family val="2"/>
        <scheme val="minor"/>
      </rPr>
      <t xml:space="preserve">  - Préparation corpus STM32Cube pour ingestion ST</t>
    </r>
  </si>
  <si>
    <r>
      <rPr>
        <b/>
        <sz val="10"/>
        <color theme="1"/>
        <rFont val="Arial"/>
        <family val="2"/>
        <scheme val="minor"/>
      </rPr>
      <t xml:space="preserve">ST RAG </t>
    </r>
    <r>
      <rPr>
        <sz val="10"/>
        <color theme="1"/>
        <rFont val="Arial"/>
        <family val="2"/>
        <scheme val="minor"/>
      </rPr>
      <t xml:space="preserve">– Tests d’ingestion </t>
    </r>
  </si>
  <si>
    <r>
      <rPr>
        <b/>
        <sz val="10"/>
        <color theme="1"/>
        <rFont val="Arial"/>
        <family val="2"/>
        <scheme val="minor"/>
      </rPr>
      <t>Custom RAG</t>
    </r>
    <r>
      <rPr>
        <sz val="10"/>
        <color theme="1"/>
        <rFont val="Arial"/>
        <family val="2"/>
        <scheme val="minor"/>
      </rPr>
      <t xml:space="preserve"> – Embeddings + index vectoriel</t>
    </r>
  </si>
  <si>
    <r>
      <rPr>
        <b/>
        <sz val="10"/>
        <color theme="1"/>
        <rFont val="Arial"/>
        <family val="2"/>
        <scheme val="minor"/>
      </rPr>
      <t>Custom RAG</t>
    </r>
    <r>
      <rPr>
        <sz val="10"/>
        <color theme="1"/>
        <rFont val="Arial"/>
        <family val="2"/>
        <scheme val="minor"/>
      </rPr>
      <t xml:space="preserve"> – Pipeline question/réponse (retrieval + génération)</t>
    </r>
  </si>
  <si>
    <r>
      <rPr>
        <b/>
        <sz val="10"/>
        <color theme="1"/>
        <rFont val="Arial"/>
        <family val="2"/>
        <scheme val="minor"/>
      </rPr>
      <t>Custom RAG</t>
    </r>
    <r>
      <rPr>
        <sz val="10"/>
        <color theme="1"/>
        <rFont val="Arial"/>
        <family val="2"/>
        <scheme val="minor"/>
      </rPr>
      <t xml:space="preserve"> – Interface de test </t>
    </r>
  </si>
  <si>
    <r>
      <t xml:space="preserve">ST RAG – </t>
    </r>
    <r>
      <rPr>
        <sz val="10"/>
        <color theme="1"/>
        <rFont val="Arial"/>
        <family val="2"/>
        <scheme val="minor"/>
      </rPr>
      <t>API question/réponse (scripts de test)</t>
    </r>
  </si>
  <si>
    <r>
      <t xml:space="preserve">Éval – </t>
    </r>
    <r>
      <rPr>
        <sz val="10"/>
        <color theme="1"/>
        <rFont val="Arial"/>
        <family val="2"/>
        <scheme val="minor"/>
      </rPr>
      <t>Définition jeu de questions STM32Cube (scénarios réalistes)</t>
    </r>
  </si>
  <si>
    <r>
      <t xml:space="preserve">Éval – </t>
    </r>
    <r>
      <rPr>
        <sz val="10"/>
        <color theme="1"/>
        <rFont val="Arial"/>
        <family val="2"/>
        <scheme val="minor"/>
      </rPr>
      <t>Scripts d’évaluation auto (appel 2 systèmes + stockage réponses)</t>
    </r>
  </si>
  <si>
    <t xml:space="preserve"> Accès outil ST</t>
  </si>
  <si>
    <t>Génération corpus ST</t>
  </si>
  <si>
    <t>PC dispo, chunks V2</t>
  </si>
  <si>
    <t>Embeddings + index</t>
  </si>
  <si>
    <t>Pipeline Q/R</t>
  </si>
  <si>
    <t>Tests ingestion ST</t>
  </si>
  <si>
    <t>Besoin ST, pipeline OK</t>
  </si>
  <si>
    <t>Custom RAG Q/R, API ST, jeu de questions</t>
  </si>
  <si>
    <t xml:space="preserve">Schéma commun + métadonnées	</t>
  </si>
  <si>
    <t>Cleaning issues, Cleaning docs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</si>
</sst>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9"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1"/>
      <color theme="1"/>
      <name val="Arial"/>
      <family val="2"/>
      <scheme val="minor"/>
    </font>
    <font>
      <sz val="12"/>
      <color theme="1"/>
      <name val="Arial"/>
      <family val="2"/>
      <scheme val="minor"/>
    </font>
  </fonts>
  <fills count="2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9" tint="0.79998168889431442"/>
        <bgColor indexed="65"/>
      </patternFill>
    </fill>
    <fill>
      <patternFill patternType="solid">
        <fgColor theme="3" tint="0.89999084444715716"/>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3" tint="0.749961851863155"/>
        <bgColor indexed="64"/>
      </patternFill>
    </fill>
    <fill>
      <patternFill patternType="solid">
        <fgColor theme="0"/>
        <bgColor indexed="64"/>
      </patternFill>
    </fill>
  </fills>
  <borders count="25">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style="thin">
        <color theme="0" tint="-4.9989318521683403E-2"/>
      </right>
      <top style="thin">
        <color theme="0" tint="-4.9989318521683403E-2"/>
      </top>
      <bottom style="thin">
        <color theme="0" tint="-4.9989318521683403E-2"/>
      </bottom>
      <diagonal/>
    </border>
    <border>
      <left/>
      <right/>
      <top style="medium">
        <color theme="3" tint="0.89992980742820516"/>
      </top>
      <bottom style="medium">
        <color theme="3" tint="0.89992980742820516"/>
      </bottom>
      <diagonal/>
    </border>
    <border>
      <left/>
      <right/>
      <top style="medium">
        <color theme="0" tint="-4.9989318521683403E-2"/>
      </top>
      <bottom style="medium">
        <color theme="0" tint="-4.9989318521683403E-2"/>
      </bottom>
      <diagonal/>
    </border>
  </borders>
  <cellStyleXfs count="15">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xf numFmtId="0" fontId="4" fillId="13" borderId="0" applyNumberFormat="0" applyBorder="0" applyAlignment="0" applyProtection="0"/>
    <xf numFmtId="0" fontId="4" fillId="18" borderId="4">
      <alignment vertical="center"/>
    </xf>
  </cellStyleXfs>
  <cellXfs count="128">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15"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8" fillId="12" borderId="20" xfId="0" applyNumberFormat="1" applyFont="1" applyFill="1" applyBorder="1" applyAlignment="1">
      <alignment horizontal="center" vertical="center"/>
    </xf>
    <xf numFmtId="167" fontId="18" fillId="12" borderId="18" xfId="0" applyNumberFormat="1" applyFont="1" applyFill="1" applyBorder="1" applyAlignment="1">
      <alignment horizontal="center" vertical="center"/>
    </xf>
    <xf numFmtId="167" fontId="18" fillId="12" borderId="19" xfId="0" applyNumberFormat="1" applyFont="1" applyFill="1" applyBorder="1" applyAlignment="1">
      <alignment horizontal="center" vertical="center"/>
    </xf>
    <xf numFmtId="0" fontId="19" fillId="2" borderId="17"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9" fillId="2" borderId="15" xfId="0" applyFont="1" applyFill="1" applyBorder="1" applyAlignment="1">
      <alignment horizontal="center" vertical="center" shrinkToFit="1"/>
    </xf>
    <xf numFmtId="0" fontId="16" fillId="0" borderId="0" xfId="0" applyFont="1"/>
    <xf numFmtId="0" fontId="4" fillId="0" borderId="3" xfId="0" applyFont="1" applyBorder="1" applyAlignment="1">
      <alignment vertical="center"/>
    </xf>
    <xf numFmtId="0" fontId="20" fillId="6" borderId="0" xfId="0" applyFont="1" applyFill="1" applyAlignment="1">
      <alignment horizontal="left" vertical="center" indent="1"/>
    </xf>
    <xf numFmtId="9" fontId="1" fillId="6" borderId="0" xfId="2" applyFont="1" applyFill="1" applyBorder="1" applyAlignment="1">
      <alignment horizontal="center" vertical="center"/>
    </xf>
    <xf numFmtId="164" fontId="16"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9" fontId="1" fillId="3" borderId="6" xfId="2" applyFont="1" applyFill="1" applyBorder="1" applyAlignment="1">
      <alignment horizontal="center" vertical="center"/>
    </xf>
    <xf numFmtId="164" fontId="16" fillId="3" borderId="6" xfId="10" applyFont="1" applyFill="1" applyBorder="1">
      <alignment horizontal="center" vertical="center"/>
    </xf>
    <xf numFmtId="0" fontId="4" fillId="0" borderId="4" xfId="0" applyFont="1" applyBorder="1" applyAlignment="1">
      <alignment vertical="center"/>
    </xf>
    <xf numFmtId="0" fontId="16" fillId="3" borderId="7" xfId="12" applyFont="1" applyFill="1" applyBorder="1">
      <alignment horizontal="left" vertical="center" indent="2"/>
    </xf>
    <xf numFmtId="9" fontId="1" fillId="3" borderId="7" xfId="2" applyFont="1" applyFill="1" applyBorder="1" applyAlignment="1">
      <alignment horizontal="center" vertical="center"/>
    </xf>
    <xf numFmtId="164" fontId="16" fillId="3" borderId="7" xfId="10" applyFont="1" applyFill="1" applyBorder="1">
      <alignment horizontal="center" vertical="center"/>
    </xf>
    <xf numFmtId="0" fontId="4" fillId="0" borderId="4" xfId="0" applyFont="1" applyBorder="1" applyAlignment="1">
      <alignment horizontal="right" vertical="center"/>
    </xf>
    <xf numFmtId="0" fontId="20" fillId="7" borderId="0" xfId="0" applyFont="1" applyFill="1" applyAlignment="1">
      <alignment horizontal="left" vertical="center" indent="1"/>
    </xf>
    <xf numFmtId="9" fontId="1" fillId="7" borderId="0" xfId="2" applyFont="1" applyFill="1" applyBorder="1" applyAlignment="1">
      <alignment horizontal="center" vertical="center"/>
    </xf>
    <xf numFmtId="164" fontId="16"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9" fontId="1" fillId="4" borderId="5" xfId="2" applyFont="1" applyFill="1" applyBorder="1" applyAlignment="1">
      <alignment horizontal="center" vertical="center"/>
    </xf>
    <xf numFmtId="164" fontId="16" fillId="4" borderId="5" xfId="10" applyFont="1" applyFill="1" applyBorder="1">
      <alignment horizontal="center" vertical="center"/>
    </xf>
    <xf numFmtId="0" fontId="20" fillId="8" borderId="0" xfId="0" applyFont="1" applyFill="1" applyAlignment="1">
      <alignment horizontal="left" vertical="center" indent="1"/>
    </xf>
    <xf numFmtId="9" fontId="1" fillId="8" borderId="0" xfId="2" applyFont="1" applyFill="1" applyBorder="1" applyAlignment="1">
      <alignment horizontal="center" vertical="center"/>
    </xf>
    <xf numFmtId="164" fontId="16"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6" fillId="5" borderId="8" xfId="12" applyFont="1" applyFill="1" applyBorder="1">
      <alignment horizontal="left" vertical="center" indent="2"/>
    </xf>
    <xf numFmtId="9" fontId="1" fillId="5" borderId="8" xfId="2" applyFont="1" applyFill="1" applyBorder="1" applyAlignment="1">
      <alignment horizontal="center" vertical="center"/>
    </xf>
    <xf numFmtId="164" fontId="16" fillId="5" borderId="8" xfId="10" applyFont="1" applyFill="1" applyBorder="1">
      <alignment horizontal="center" vertical="center"/>
    </xf>
    <xf numFmtId="0" fontId="20" fillId="9" borderId="0" xfId="0" applyFont="1" applyFill="1" applyAlignment="1">
      <alignment horizontal="left" vertical="center" indent="1"/>
    </xf>
    <xf numFmtId="9" fontId="1" fillId="9" borderId="0" xfId="2" applyFont="1" applyFill="1" applyBorder="1" applyAlignment="1">
      <alignment horizontal="center" vertical="center"/>
    </xf>
    <xf numFmtId="164" fontId="16"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6" fillId="10" borderId="9" xfId="12" applyFont="1" applyFill="1" applyBorder="1">
      <alignment horizontal="left" vertical="center" indent="2"/>
    </xf>
    <xf numFmtId="9" fontId="1" fillId="10" borderId="9" xfId="2" applyFont="1" applyFill="1" applyBorder="1" applyAlignment="1">
      <alignment horizontal="center" vertical="center"/>
    </xf>
    <xf numFmtId="164" fontId="16" fillId="10" borderId="9" xfId="10" applyFont="1" applyFill="1" applyBorder="1">
      <alignment horizontal="center" vertical="center"/>
    </xf>
    <xf numFmtId="0" fontId="21" fillId="0" borderId="0" xfId="6" applyFont="1" applyAlignment="1">
      <alignment horizontal="left" vertical="center" indent="1"/>
    </xf>
    <xf numFmtId="0" fontId="24"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1" fillId="0" borderId="0" xfId="0" applyFont="1" applyAlignment="1">
      <alignment horizontal="left" vertical="center" indent="1"/>
    </xf>
    <xf numFmtId="0" fontId="25" fillId="0" borderId="0" xfId="0" applyFont="1" applyAlignment="1">
      <alignment horizontal="left" vertical="top" wrapText="1" indent="1"/>
    </xf>
    <xf numFmtId="0" fontId="0" fillId="0" borderId="0" xfId="0" applyAlignment="1">
      <alignment horizontal="left" vertical="top" wrapText="1" indent="1"/>
    </xf>
    <xf numFmtId="0" fontId="26" fillId="0" borderId="0" xfId="1" applyFont="1" applyAlignment="1" applyProtection="1">
      <alignment horizontal="left" vertical="top" indent="1"/>
    </xf>
    <xf numFmtId="0" fontId="1" fillId="0" borderId="0" xfId="0" applyFont="1" applyAlignment="1">
      <alignment horizontal="left" vertical="top" indent="1"/>
    </xf>
    <xf numFmtId="0" fontId="16" fillId="3" borderId="6" xfId="12" applyFont="1" applyFill="1" applyBorder="1" applyAlignment="1">
      <alignment horizontal="left" vertical="center" wrapText="1" indent="2"/>
    </xf>
    <xf numFmtId="0" fontId="16" fillId="4" borderId="5" xfId="12" applyFont="1" applyFill="1" applyBorder="1" applyAlignment="1">
      <alignment horizontal="left" vertical="center" wrapText="1" indent="2"/>
    </xf>
    <xf numFmtId="0" fontId="4" fillId="0" borderId="22" xfId="0" applyFont="1" applyBorder="1" applyAlignment="1">
      <alignment vertical="center"/>
    </xf>
    <xf numFmtId="0" fontId="20" fillId="14" borderId="23" xfId="0" applyFont="1" applyFill="1" applyBorder="1" applyAlignment="1">
      <alignment horizontal="left" vertical="center" indent="1"/>
    </xf>
    <xf numFmtId="9" fontId="1" fillId="14" borderId="23" xfId="2" applyFont="1" applyFill="1" applyBorder="1" applyAlignment="1">
      <alignment horizontal="center" vertical="center"/>
    </xf>
    <xf numFmtId="164" fontId="16" fillId="14" borderId="23" xfId="0" applyNumberFormat="1" applyFont="1" applyFill="1" applyBorder="1" applyAlignment="1">
      <alignment horizontal="center" vertical="center"/>
    </xf>
    <xf numFmtId="164" fontId="1" fillId="14" borderId="23" xfId="0" applyNumberFormat="1" applyFont="1" applyFill="1" applyBorder="1" applyAlignment="1">
      <alignment horizontal="center" vertical="center"/>
    </xf>
    <xf numFmtId="0" fontId="16" fillId="15" borderId="23" xfId="12" applyFont="1" applyFill="1" applyBorder="1">
      <alignment horizontal="left" vertical="center" indent="2"/>
    </xf>
    <xf numFmtId="9" fontId="1" fillId="15" borderId="23" xfId="2" applyFont="1" applyFill="1" applyBorder="1" applyAlignment="1">
      <alignment horizontal="center" vertical="center"/>
    </xf>
    <xf numFmtId="164" fontId="16" fillId="15" borderId="23" xfId="10" applyFont="1" applyFill="1" applyBorder="1">
      <alignment horizontal="center" vertical="center"/>
    </xf>
    <xf numFmtId="0" fontId="20" fillId="16" borderId="24" xfId="0" applyFont="1" applyFill="1" applyBorder="1" applyAlignment="1">
      <alignment horizontal="left" vertical="center" indent="1"/>
    </xf>
    <xf numFmtId="9" fontId="1" fillId="16" borderId="24" xfId="2" applyFont="1" applyFill="1" applyBorder="1" applyAlignment="1">
      <alignment horizontal="center" vertical="center"/>
    </xf>
    <xf numFmtId="164" fontId="16" fillId="16" borderId="24" xfId="0" applyNumberFormat="1" applyFont="1" applyFill="1" applyBorder="1" applyAlignment="1">
      <alignment horizontal="center" vertical="center"/>
    </xf>
    <xf numFmtId="164" fontId="1" fillId="16" borderId="24" xfId="0" applyNumberFormat="1" applyFont="1" applyFill="1" applyBorder="1" applyAlignment="1">
      <alignment horizontal="center" vertical="center"/>
    </xf>
    <xf numFmtId="0" fontId="16" fillId="17" borderId="24" xfId="12" applyFont="1" applyFill="1" applyBorder="1">
      <alignment horizontal="left" vertical="center" indent="2"/>
    </xf>
    <xf numFmtId="9" fontId="1" fillId="17" borderId="24" xfId="2" applyFont="1" applyFill="1" applyBorder="1" applyAlignment="1">
      <alignment horizontal="center" vertical="center"/>
    </xf>
    <xf numFmtId="164" fontId="16" fillId="17" borderId="24" xfId="10" applyFont="1" applyFill="1" applyBorder="1">
      <alignment horizontal="center" vertical="center"/>
    </xf>
    <xf numFmtId="0" fontId="16" fillId="5" borderId="8" xfId="12" applyFont="1" applyFill="1" applyBorder="1" applyAlignment="1">
      <alignment horizontal="left" vertical="center" wrapText="1" indent="2"/>
    </xf>
    <xf numFmtId="0" fontId="16" fillId="10" borderId="9" xfId="12" applyFont="1" applyFill="1" applyBorder="1" applyAlignment="1">
      <alignment horizontal="left" vertical="center" wrapText="1" indent="2"/>
    </xf>
    <xf numFmtId="0" fontId="16" fillId="15" borderId="23" xfId="12" applyFont="1" applyFill="1" applyBorder="1" applyAlignment="1">
      <alignment horizontal="left" vertical="center" wrapText="1" indent="2"/>
    </xf>
    <xf numFmtId="0" fontId="16" fillId="17" borderId="24" xfId="12" applyFont="1" applyFill="1" applyBorder="1" applyAlignment="1">
      <alignment horizontal="left" vertical="center" wrapText="1" indent="2"/>
    </xf>
    <xf numFmtId="0" fontId="4" fillId="19" borderId="4" xfId="13" applyFill="1" applyBorder="1" applyAlignment="1">
      <alignment vertical="center"/>
    </xf>
    <xf numFmtId="0" fontId="16" fillId="4" borderId="5" xfId="12" applyFont="1" applyFill="1" applyBorder="1" applyAlignment="1">
      <alignment horizontal="center" vertical="center" wrapText="1"/>
    </xf>
    <xf numFmtId="0" fontId="28" fillId="0" borderId="0" xfId="0" applyFont="1"/>
    <xf numFmtId="0" fontId="20" fillId="0" borderId="0" xfId="0" applyFont="1"/>
    <xf numFmtId="0" fontId="27" fillId="0" borderId="0" xfId="0" applyFont="1" applyAlignment="1">
      <alignment vertical="center"/>
    </xf>
    <xf numFmtId="0" fontId="27" fillId="0" borderId="0" xfId="0" applyFont="1"/>
    <xf numFmtId="0" fontId="16" fillId="3" borderId="6" xfId="12" applyFont="1" applyFill="1" applyBorder="1" applyAlignment="1">
      <alignment horizontal="center" vertical="center" wrapText="1"/>
    </xf>
    <xf numFmtId="0" fontId="16" fillId="3" borderId="6" xfId="12" applyFont="1" applyFill="1" applyBorder="1" applyAlignment="1">
      <alignment horizontal="left" vertical="center" wrapText="1"/>
    </xf>
    <xf numFmtId="0" fontId="16" fillId="3" borderId="7" xfId="12" applyFont="1" applyFill="1" applyBorder="1" applyAlignment="1">
      <alignment horizontal="center" vertical="center"/>
    </xf>
    <xf numFmtId="0" fontId="16" fillId="3" borderId="7" xfId="12" applyFont="1" applyFill="1" applyBorder="1" applyAlignment="1">
      <alignment horizontal="left" vertical="center"/>
    </xf>
    <xf numFmtId="0" fontId="16" fillId="3" borderId="7" xfId="12" applyFont="1" applyFill="1" applyBorder="1" applyAlignment="1">
      <alignment horizontal="left" vertical="center" wrapText="1"/>
    </xf>
    <xf numFmtId="0" fontId="16" fillId="4" borderId="5" xfId="12" applyFont="1" applyFill="1" applyBorder="1" applyAlignment="1">
      <alignment vertical="center" wrapText="1"/>
    </xf>
    <xf numFmtId="0" fontId="16" fillId="4" borderId="5" xfId="12" applyFont="1" applyFill="1" applyBorder="1" applyAlignment="1">
      <alignment horizontal="left" vertical="center" wrapText="1"/>
    </xf>
    <xf numFmtId="0" fontId="16" fillId="5" borderId="8" xfId="12" applyFont="1" applyFill="1" applyBorder="1" applyAlignment="1">
      <alignment vertical="center" wrapText="1"/>
    </xf>
    <xf numFmtId="0" fontId="16" fillId="10" borderId="9" xfId="12" applyFont="1" applyFill="1" applyBorder="1" applyAlignment="1">
      <alignment vertical="center" wrapText="1"/>
    </xf>
    <xf numFmtId="0" fontId="17" fillId="10" borderId="9" xfId="12" applyFont="1" applyFill="1" applyBorder="1" applyAlignment="1">
      <alignment vertical="center" wrapText="1"/>
    </xf>
    <xf numFmtId="166" fontId="16" fillId="2" borderId="13" xfId="0" applyNumberFormat="1" applyFont="1" applyFill="1" applyBorder="1" applyAlignment="1">
      <alignment horizontal="center" vertical="center" wrapText="1"/>
    </xf>
    <xf numFmtId="0" fontId="21" fillId="0" borderId="0" xfId="8" applyFont="1" applyAlignment="1">
      <alignment horizontal="left"/>
    </xf>
    <xf numFmtId="0" fontId="4" fillId="0" borderId="0" xfId="0" applyFont="1"/>
    <xf numFmtId="165" fontId="22" fillId="0" borderId="0" xfId="9" applyFont="1" applyBorder="1" applyAlignment="1">
      <alignment horizontal="left"/>
    </xf>
    <xf numFmtId="0" fontId="23" fillId="0" borderId="0" xfId="0" applyFont="1"/>
    <xf numFmtId="0" fontId="22" fillId="0" borderId="0" xfId="0" applyFont="1" applyAlignment="1">
      <alignment horizontal="left"/>
    </xf>
    <xf numFmtId="166" fontId="16" fillId="2" borderId="18" xfId="0" applyNumberFormat="1" applyFont="1" applyFill="1" applyBorder="1" applyAlignment="1">
      <alignment horizontal="center" vertical="center" wrapText="1"/>
    </xf>
    <xf numFmtId="166" fontId="16" fillId="2" borderId="19" xfId="0" applyNumberFormat="1" applyFont="1" applyFill="1" applyBorder="1" applyAlignment="1">
      <alignment horizontal="center" vertical="center" wrapText="1"/>
    </xf>
    <xf numFmtId="0" fontId="11" fillId="0" borderId="0" xfId="3" applyAlignment="1">
      <alignment wrapText="1"/>
    </xf>
    <xf numFmtId="0" fontId="17"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7" fillId="11" borderId="16" xfId="0" applyFont="1" applyFill="1" applyBorder="1" applyAlignment="1">
      <alignment horizontal="center" vertical="center"/>
    </xf>
    <xf numFmtId="0" fontId="4" fillId="2" borderId="21" xfId="0" applyFont="1" applyFill="1" applyBorder="1"/>
    <xf numFmtId="0" fontId="17" fillId="11" borderId="0" xfId="0" applyFont="1" applyFill="1" applyAlignment="1">
      <alignment horizontal="center" vertical="center"/>
    </xf>
  </cellXfs>
  <cellStyles count="15">
    <cellStyle name="20% - Accent6" xfId="13" builtinId="50"/>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Style 1" xfId="14" xr:uid="{C49336D6-8729-4695-AAA8-E90CD09D7ECE}"/>
    <cellStyle name="Task" xfId="12" xr:uid="{6391D789-272B-4DD2-9BF3-2CDCF610FA41}"/>
    <cellStyle name="Title" xfId="5" builtinId="15" customBuiltin="1"/>
    <cellStyle name="zHiddenText" xfId="3" xr:uid="{26E66EE6-E33F-4D77-BAE4-0FB4F5BBF673}"/>
  </cellStyles>
  <dxfs count="72">
    <dxf>
      <border>
        <left style="thin">
          <color theme="5"/>
        </left>
        <right style="thin">
          <color theme="5"/>
        </right>
        <vertical/>
        <horizontal/>
      </border>
    </dxf>
    <dxf>
      <fill>
        <patternFill>
          <bgColor theme="3" tint="0.749961851863155"/>
        </patternFill>
      </fill>
      <border>
        <left/>
        <right/>
      </border>
    </dxf>
    <dxf>
      <fill>
        <patternFill>
          <bgColor theme="3" tint="0.89996032593768116"/>
        </patternFill>
      </fill>
      <border>
        <left/>
        <right/>
      </border>
    </dxf>
    <dxf>
      <border>
        <left style="thin">
          <color theme="5"/>
        </left>
        <right style="thin">
          <color theme="5"/>
        </right>
        <vertical/>
        <horizontal/>
      </border>
    </dxf>
    <dxf>
      <border>
        <left style="thin">
          <color theme="5"/>
        </left>
        <right style="thin">
          <color theme="5"/>
        </right>
        <vertical/>
        <horizontal/>
      </border>
    </dxf>
    <dxf>
      <fill>
        <patternFill>
          <bgColor theme="3" tint="0.749961851863155"/>
        </patternFill>
      </fill>
      <border>
        <left/>
        <right/>
      </border>
    </dxf>
    <dxf>
      <fill>
        <patternFill>
          <bgColor theme="3" tint="0.89996032593768116"/>
        </patternFill>
      </fill>
      <border>
        <left/>
        <right/>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2" tint="-0.24994659260841701"/>
        </patternFill>
      </fill>
      <border>
        <left/>
        <right/>
      </border>
    </dxf>
    <dxf>
      <fill>
        <patternFill>
          <bgColor theme="2" tint="-9.9948118533890809E-2"/>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3" tint="0.749961851863155"/>
        </patternFill>
      </fill>
      <border>
        <left/>
        <right/>
      </border>
    </dxf>
    <dxf>
      <fill>
        <patternFill>
          <bgColor theme="3" tint="0.89996032593768116"/>
        </patternFill>
      </fill>
      <border>
        <left/>
        <right/>
      </border>
    </dxf>
    <dxf>
      <border>
        <left style="thin">
          <color theme="5"/>
        </left>
        <right style="thin">
          <color theme="5"/>
        </right>
        <vertical/>
        <horizontal/>
      </border>
    </dxf>
    <dxf>
      <border>
        <left style="thin">
          <color theme="5"/>
        </left>
        <right style="thin">
          <color theme="5"/>
        </right>
        <vertical/>
        <horizontal/>
      </border>
    </dxf>
    <dxf>
      <fill>
        <patternFill>
          <bgColor theme="3" tint="0.749961851863155"/>
        </patternFill>
      </fill>
      <border>
        <left/>
        <right/>
      </border>
    </dxf>
    <dxf>
      <fill>
        <patternFill>
          <bgColor theme="3" tint="0.89996032593768116"/>
        </patternFill>
      </fill>
      <border>
        <left/>
        <right/>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2" tint="-0.24994659260841701"/>
        </patternFill>
      </fill>
      <border>
        <left/>
        <right/>
      </border>
    </dxf>
    <dxf>
      <fill>
        <patternFill>
          <bgColor theme="2" tint="-9.9948118533890809E-2"/>
        </patternFill>
      </fill>
      <border>
        <left/>
        <right/>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3" tint="0.749961851863155"/>
        </patternFill>
      </fill>
      <border>
        <left/>
        <right/>
      </border>
    </dxf>
    <dxf>
      <fill>
        <patternFill>
          <bgColor theme="3" tint="0.89996032593768116"/>
        </patternFill>
      </fill>
      <border>
        <left/>
        <right/>
      </border>
    </dxf>
    <dxf>
      <border>
        <left style="thin">
          <color theme="5"/>
        </left>
        <right style="thin">
          <color theme="5"/>
        </right>
        <vertical/>
        <horizontal/>
      </border>
    </dxf>
    <dxf>
      <border>
        <left style="thin">
          <color theme="5"/>
        </left>
        <right style="thin">
          <color theme="5"/>
        </right>
        <vertical/>
        <horizontal/>
      </border>
    </dxf>
    <dxf>
      <fill>
        <patternFill>
          <bgColor theme="3" tint="0.749961851863155"/>
        </patternFill>
      </fill>
      <border>
        <left/>
        <right/>
      </border>
    </dxf>
    <dxf>
      <fill>
        <patternFill>
          <bgColor theme="3" tint="0.89996032593768116"/>
        </patternFill>
      </fill>
      <border>
        <left/>
        <right/>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2" tint="-0.24994659260841701"/>
        </patternFill>
      </fill>
      <border>
        <left/>
        <right/>
      </border>
    </dxf>
    <dxf>
      <fill>
        <patternFill>
          <bgColor theme="2" tint="-9.9948118533890809E-2"/>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71"/>
      <tableStyleElement type="headerRow" dxfId="70"/>
      <tableStyleElement type="totalRow" dxfId="69"/>
      <tableStyleElement type="firstColumn" dxfId="68"/>
      <tableStyleElement type="lastColumn" dxfId="67"/>
      <tableStyleElement type="firstRowStripe" dxfId="66"/>
      <tableStyleElement type="secondRowStripe" dxfId="65"/>
      <tableStyleElement type="firstColumnStripe" dxfId="64"/>
      <tableStyleElement type="secondColumnStripe" dxfId="6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59437</xdr:colOff>
      <xdr:row>33</xdr:row>
      <xdr:rowOff>294341</xdr:rowOff>
    </xdr:from>
    <xdr:to>
      <xdr:col>124</xdr:col>
      <xdr:colOff>166705</xdr:colOff>
      <xdr:row>51</xdr:row>
      <xdr:rowOff>84007</xdr:rowOff>
    </xdr:to>
    <xdr:pic>
      <xdr:nvPicPr>
        <xdr:cNvPr id="2" name="Picture 1">
          <a:extLst>
            <a:ext uri="{FF2B5EF4-FFF2-40B4-BE49-F238E27FC236}">
              <a16:creationId xmlns:a16="http://schemas.microsoft.com/office/drawing/2014/main" id="{CBFED249-594A-4A3A-90D7-FA1431A47D1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4668" b="21849"/>
        <a:stretch>
          <a:fillRect/>
        </a:stretch>
      </xdr:blipFill>
      <xdr:spPr bwMode="auto">
        <a:xfrm>
          <a:off x="268987" y="12867341"/>
          <a:ext cx="29025168" cy="66476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129</xdr:col>
      <xdr:colOff>32117</xdr:colOff>
      <xdr:row>34</xdr:row>
      <xdr:rowOff>242429</xdr:rowOff>
    </xdr:from>
    <xdr:to>
      <xdr:col>206</xdr:col>
      <xdr:colOff>290101</xdr:colOff>
      <xdr:row>59</xdr:row>
      <xdr:rowOff>358814</xdr:rowOff>
    </xdr:to>
    <xdr:pic>
      <xdr:nvPicPr>
        <xdr:cNvPr id="3" name="Picture 2">
          <a:extLst>
            <a:ext uri="{FF2B5EF4-FFF2-40B4-BE49-F238E27FC236}">
              <a16:creationId xmlns:a16="http://schemas.microsoft.com/office/drawing/2014/main" id="{9D0F7F0E-99A8-4AD3-BA83-C86663C3B2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207317" y="13196429"/>
          <a:ext cx="20965334" cy="9641385"/>
        </a:xfrm>
        <a:prstGeom prst="rect">
          <a:avLst/>
        </a:prstGeom>
      </xdr:spPr>
    </xdr:pic>
    <xdr:clientData/>
  </xdr:twoCellAnchor>
  <xdr:twoCellAnchor editAs="oneCell">
    <xdr:from>
      <xdr:col>199</xdr:col>
      <xdr:colOff>109905</xdr:colOff>
      <xdr:row>8</xdr:row>
      <xdr:rowOff>201492</xdr:rowOff>
    </xdr:from>
    <xdr:to>
      <xdr:col>213</xdr:col>
      <xdr:colOff>363454</xdr:colOff>
      <xdr:row>30</xdr:row>
      <xdr:rowOff>342594</xdr:rowOff>
    </xdr:to>
    <xdr:pic>
      <xdr:nvPicPr>
        <xdr:cNvPr id="4" name="Picture 3">
          <a:extLst>
            <a:ext uri="{FF2B5EF4-FFF2-40B4-BE49-F238E27FC236}">
              <a16:creationId xmlns:a16="http://schemas.microsoft.com/office/drawing/2014/main" id="{CDE11BAD-B28A-4C49-8ACF-C0C83B4CBE80}"/>
            </a:ext>
          </a:extLst>
        </xdr:cNvPr>
        <xdr:cNvPicPr>
          <a:picLocks noChangeAspect="1"/>
        </xdr:cNvPicPr>
      </xdr:nvPicPr>
      <xdr:blipFill>
        <a:blip xmlns:r="http://schemas.openxmlformats.org/officeDocument/2006/relationships" r:embed="rId3"/>
        <a:stretch>
          <a:fillRect/>
        </a:stretch>
      </xdr:blipFill>
      <xdr:spPr>
        <a:xfrm>
          <a:off x="46325205" y="3249492"/>
          <a:ext cx="9588049" cy="8523102"/>
        </a:xfrm>
        <a:prstGeom prst="rect">
          <a:avLst/>
        </a:prstGeom>
      </xdr:spPr>
    </xdr:pic>
    <xdr:clientData/>
  </xdr:twoCellAnchor>
  <xdr:twoCellAnchor editAs="oneCell">
    <xdr:from>
      <xdr:col>214</xdr:col>
      <xdr:colOff>426118</xdr:colOff>
      <xdr:row>8</xdr:row>
      <xdr:rowOff>175460</xdr:rowOff>
    </xdr:from>
    <xdr:to>
      <xdr:col>228</xdr:col>
      <xdr:colOff>510985</xdr:colOff>
      <xdr:row>30</xdr:row>
      <xdr:rowOff>325856</xdr:rowOff>
    </xdr:to>
    <xdr:pic>
      <xdr:nvPicPr>
        <xdr:cNvPr id="5" name="Picture 4">
          <a:extLst>
            <a:ext uri="{FF2B5EF4-FFF2-40B4-BE49-F238E27FC236}">
              <a16:creationId xmlns:a16="http://schemas.microsoft.com/office/drawing/2014/main" id="{FE6C49D2-CF40-4A1F-BA14-3A6244A73A63}"/>
            </a:ext>
          </a:extLst>
        </xdr:cNvPr>
        <xdr:cNvPicPr>
          <a:picLocks noChangeAspect="1"/>
        </xdr:cNvPicPr>
      </xdr:nvPicPr>
      <xdr:blipFill>
        <a:blip xmlns:r="http://schemas.openxmlformats.org/officeDocument/2006/relationships" r:embed="rId4"/>
        <a:stretch>
          <a:fillRect/>
        </a:stretch>
      </xdr:blipFill>
      <xdr:spPr>
        <a:xfrm>
          <a:off x="56642668" y="3223460"/>
          <a:ext cx="9419367" cy="8532396"/>
        </a:xfrm>
        <a:prstGeom prst="rect">
          <a:avLst/>
        </a:prstGeom>
      </xdr:spPr>
    </xdr:pic>
    <xdr:clientData/>
  </xdr:twoCellAnchor>
  <xdr:twoCellAnchor editAs="oneCell">
    <xdr:from>
      <xdr:col>209</xdr:col>
      <xdr:colOff>516954</xdr:colOff>
      <xdr:row>43</xdr:row>
      <xdr:rowOff>50881</xdr:rowOff>
    </xdr:from>
    <xdr:to>
      <xdr:col>221</xdr:col>
      <xdr:colOff>215414</xdr:colOff>
      <xdr:row>59</xdr:row>
      <xdr:rowOff>256124</xdr:rowOff>
    </xdr:to>
    <xdr:pic>
      <xdr:nvPicPr>
        <xdr:cNvPr id="6" name="Picture 5">
          <a:extLst>
            <a:ext uri="{FF2B5EF4-FFF2-40B4-BE49-F238E27FC236}">
              <a16:creationId xmlns:a16="http://schemas.microsoft.com/office/drawing/2014/main" id="{36DCA003-7F07-4BDD-B480-6BF6726E4C9A}"/>
            </a:ext>
          </a:extLst>
        </xdr:cNvPr>
        <xdr:cNvPicPr>
          <a:picLocks noChangeAspect="1"/>
        </xdr:cNvPicPr>
      </xdr:nvPicPr>
      <xdr:blipFill>
        <a:blip xmlns:r="http://schemas.openxmlformats.org/officeDocument/2006/relationships" r:embed="rId5"/>
        <a:stretch>
          <a:fillRect/>
        </a:stretch>
      </xdr:blipFill>
      <xdr:spPr>
        <a:xfrm>
          <a:off x="53399754" y="16433881"/>
          <a:ext cx="7699460" cy="6301243"/>
        </a:xfrm>
        <a:prstGeom prst="rect">
          <a:avLst/>
        </a:prstGeom>
      </xdr:spPr>
    </xdr:pic>
    <xdr:clientData/>
  </xdr:twoCellAnchor>
  <xdr:twoCellAnchor editAs="oneCell">
    <xdr:from>
      <xdr:col>224</xdr:col>
      <xdr:colOff>16281</xdr:colOff>
      <xdr:row>42</xdr:row>
      <xdr:rowOff>291042</xdr:rowOff>
    </xdr:from>
    <xdr:to>
      <xdr:col>235</xdr:col>
      <xdr:colOff>355112</xdr:colOff>
      <xdr:row>59</xdr:row>
      <xdr:rowOff>78236</xdr:rowOff>
    </xdr:to>
    <xdr:pic>
      <xdr:nvPicPr>
        <xdr:cNvPr id="7" name="Picture 6">
          <a:extLst>
            <a:ext uri="{FF2B5EF4-FFF2-40B4-BE49-F238E27FC236}">
              <a16:creationId xmlns:a16="http://schemas.microsoft.com/office/drawing/2014/main" id="{2CFF70FC-14F0-43F3-9212-688A1A7A3B68}"/>
            </a:ext>
          </a:extLst>
        </xdr:cNvPr>
        <xdr:cNvPicPr>
          <a:picLocks noChangeAspect="1"/>
        </xdr:cNvPicPr>
      </xdr:nvPicPr>
      <xdr:blipFill>
        <a:blip xmlns:r="http://schemas.openxmlformats.org/officeDocument/2006/relationships" r:embed="rId6"/>
        <a:stretch>
          <a:fillRect/>
        </a:stretch>
      </xdr:blipFill>
      <xdr:spPr>
        <a:xfrm>
          <a:off x="62900331" y="16293042"/>
          <a:ext cx="7673081" cy="6264194"/>
        </a:xfrm>
        <a:prstGeom prst="rect">
          <a:avLst/>
        </a:prstGeom>
      </xdr:spPr>
    </xdr:pic>
    <xdr:clientData/>
  </xdr:twoCellAnchor>
  <xdr:twoCellAnchor editAs="oneCell">
    <xdr:from>
      <xdr:col>231</xdr:col>
      <xdr:colOff>174238</xdr:colOff>
      <xdr:row>12</xdr:row>
      <xdr:rowOff>69695</xdr:rowOff>
    </xdr:from>
    <xdr:to>
      <xdr:col>247</xdr:col>
      <xdr:colOff>202333</xdr:colOff>
      <xdr:row>27</xdr:row>
      <xdr:rowOff>2556</xdr:rowOff>
    </xdr:to>
    <xdr:pic>
      <xdr:nvPicPr>
        <xdr:cNvPr id="8" name="Picture 7">
          <a:extLst>
            <a:ext uri="{FF2B5EF4-FFF2-40B4-BE49-F238E27FC236}">
              <a16:creationId xmlns:a16="http://schemas.microsoft.com/office/drawing/2014/main" id="{5A2E68ED-7897-4FD1-B4F7-210E823F23A2}"/>
            </a:ext>
          </a:extLst>
        </xdr:cNvPr>
        <xdr:cNvPicPr>
          <a:picLocks noChangeAspect="1"/>
        </xdr:cNvPicPr>
      </xdr:nvPicPr>
      <xdr:blipFill>
        <a:blip xmlns:r="http://schemas.openxmlformats.org/officeDocument/2006/relationships" r:embed="rId7"/>
        <a:stretch>
          <a:fillRect/>
        </a:stretch>
      </xdr:blipFill>
      <xdr:spPr>
        <a:xfrm>
          <a:off x="67725538" y="4641695"/>
          <a:ext cx="10696095" cy="5647861"/>
        </a:xfrm>
        <a:prstGeom prst="rect">
          <a:avLst/>
        </a:prstGeom>
      </xdr:spPr>
    </xdr:pic>
    <xdr:clientData/>
  </xdr:twoCellAnchor>
  <xdr:twoCellAnchor editAs="oneCell">
    <xdr:from>
      <xdr:col>217</xdr:col>
      <xdr:colOff>317502</xdr:colOff>
      <xdr:row>33</xdr:row>
      <xdr:rowOff>52918</xdr:rowOff>
    </xdr:from>
    <xdr:to>
      <xdr:col>232</xdr:col>
      <xdr:colOff>562200</xdr:colOff>
      <xdr:row>40</xdr:row>
      <xdr:rowOff>52916</xdr:rowOff>
    </xdr:to>
    <xdr:pic>
      <xdr:nvPicPr>
        <xdr:cNvPr id="9" name="Picture 8">
          <a:extLst>
            <a:ext uri="{FF2B5EF4-FFF2-40B4-BE49-F238E27FC236}">
              <a16:creationId xmlns:a16="http://schemas.microsoft.com/office/drawing/2014/main" id="{CABA2EB1-5E93-45F1-BA1C-1EB7930D1573}"/>
            </a:ext>
          </a:extLst>
        </xdr:cNvPr>
        <xdr:cNvPicPr>
          <a:picLocks noChangeAspect="1"/>
        </xdr:cNvPicPr>
      </xdr:nvPicPr>
      <xdr:blipFill>
        <a:blip xmlns:r="http://schemas.openxmlformats.org/officeDocument/2006/relationships" r:embed="rId8"/>
        <a:stretch>
          <a:fillRect/>
        </a:stretch>
      </xdr:blipFill>
      <xdr:spPr>
        <a:xfrm>
          <a:off x="58534302" y="12625918"/>
          <a:ext cx="10245948" cy="26669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59437</xdr:colOff>
      <xdr:row>33</xdr:row>
      <xdr:rowOff>294341</xdr:rowOff>
    </xdr:from>
    <xdr:to>
      <xdr:col>124</xdr:col>
      <xdr:colOff>166705</xdr:colOff>
      <xdr:row>51</xdr:row>
      <xdr:rowOff>84007</xdr:rowOff>
    </xdr:to>
    <xdr:pic>
      <xdr:nvPicPr>
        <xdr:cNvPr id="2" name="Picture 1">
          <a:extLst>
            <a:ext uri="{FF2B5EF4-FFF2-40B4-BE49-F238E27FC236}">
              <a16:creationId xmlns:a16="http://schemas.microsoft.com/office/drawing/2014/main" id="{3A4C5EB4-52A2-15D7-90F9-19546822A7E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4668" b="21849"/>
        <a:stretch>
          <a:fillRect/>
        </a:stretch>
      </xdr:blipFill>
      <xdr:spPr bwMode="auto">
        <a:xfrm>
          <a:off x="275097" y="12766699"/>
          <a:ext cx="29760570" cy="6582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129</xdr:col>
      <xdr:colOff>32117</xdr:colOff>
      <xdr:row>34</xdr:row>
      <xdr:rowOff>242429</xdr:rowOff>
    </xdr:from>
    <xdr:to>
      <xdr:col>206</xdr:col>
      <xdr:colOff>290101</xdr:colOff>
      <xdr:row>59</xdr:row>
      <xdr:rowOff>358814</xdr:rowOff>
    </xdr:to>
    <xdr:pic>
      <xdr:nvPicPr>
        <xdr:cNvPr id="4" name="Picture 3">
          <a:extLst>
            <a:ext uri="{FF2B5EF4-FFF2-40B4-BE49-F238E27FC236}">
              <a16:creationId xmlns:a16="http://schemas.microsoft.com/office/drawing/2014/main" id="{5625BD25-5B65-C1ED-1412-E6507B5AE3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79381" y="13092193"/>
          <a:ext cx="21356758" cy="9551527"/>
        </a:xfrm>
        <a:prstGeom prst="rect">
          <a:avLst/>
        </a:prstGeom>
      </xdr:spPr>
    </xdr:pic>
    <xdr:clientData/>
  </xdr:twoCellAnchor>
  <xdr:twoCellAnchor editAs="oneCell">
    <xdr:from>
      <xdr:col>199</xdr:col>
      <xdr:colOff>109905</xdr:colOff>
      <xdr:row>8</xdr:row>
      <xdr:rowOff>201492</xdr:rowOff>
    </xdr:from>
    <xdr:to>
      <xdr:col>213</xdr:col>
      <xdr:colOff>363454</xdr:colOff>
      <xdr:row>30</xdr:row>
      <xdr:rowOff>342594</xdr:rowOff>
    </xdr:to>
    <xdr:pic>
      <xdr:nvPicPr>
        <xdr:cNvPr id="3" name="Picture 2">
          <a:extLst>
            <a:ext uri="{FF2B5EF4-FFF2-40B4-BE49-F238E27FC236}">
              <a16:creationId xmlns:a16="http://schemas.microsoft.com/office/drawing/2014/main" id="{59FD16A0-ADE1-BF4F-6621-0E493F26C924}"/>
            </a:ext>
          </a:extLst>
        </xdr:cNvPr>
        <xdr:cNvPicPr>
          <a:picLocks noChangeAspect="1"/>
        </xdr:cNvPicPr>
      </xdr:nvPicPr>
      <xdr:blipFill>
        <a:blip xmlns:r="http://schemas.openxmlformats.org/officeDocument/2006/relationships" r:embed="rId3"/>
        <a:stretch>
          <a:fillRect/>
        </a:stretch>
      </xdr:blipFill>
      <xdr:spPr>
        <a:xfrm>
          <a:off x="46970398" y="3209387"/>
          <a:ext cx="9552957" cy="8412812"/>
        </a:xfrm>
        <a:prstGeom prst="rect">
          <a:avLst/>
        </a:prstGeom>
      </xdr:spPr>
    </xdr:pic>
    <xdr:clientData/>
  </xdr:twoCellAnchor>
  <xdr:twoCellAnchor editAs="oneCell">
    <xdr:from>
      <xdr:col>214</xdr:col>
      <xdr:colOff>426118</xdr:colOff>
      <xdr:row>8</xdr:row>
      <xdr:rowOff>175460</xdr:rowOff>
    </xdr:from>
    <xdr:to>
      <xdr:col>228</xdr:col>
      <xdr:colOff>510985</xdr:colOff>
      <xdr:row>30</xdr:row>
      <xdr:rowOff>325856</xdr:rowOff>
    </xdr:to>
    <xdr:pic>
      <xdr:nvPicPr>
        <xdr:cNvPr id="7" name="Picture 6">
          <a:extLst>
            <a:ext uri="{FF2B5EF4-FFF2-40B4-BE49-F238E27FC236}">
              <a16:creationId xmlns:a16="http://schemas.microsoft.com/office/drawing/2014/main" id="{DB973CF3-C4FA-BEA2-E7F8-BCCB959A3504}"/>
            </a:ext>
          </a:extLst>
        </xdr:cNvPr>
        <xdr:cNvPicPr>
          <a:picLocks noChangeAspect="1"/>
        </xdr:cNvPicPr>
      </xdr:nvPicPr>
      <xdr:blipFill>
        <a:blip xmlns:r="http://schemas.openxmlformats.org/officeDocument/2006/relationships" r:embed="rId4"/>
        <a:stretch>
          <a:fillRect/>
        </a:stretch>
      </xdr:blipFill>
      <xdr:spPr>
        <a:xfrm>
          <a:off x="57250263" y="3183355"/>
          <a:ext cx="9384275" cy="8422106"/>
        </a:xfrm>
        <a:prstGeom prst="rect">
          <a:avLst/>
        </a:prstGeom>
      </xdr:spPr>
    </xdr:pic>
    <xdr:clientData/>
  </xdr:twoCellAnchor>
  <xdr:twoCellAnchor editAs="oneCell">
    <xdr:from>
      <xdr:col>209</xdr:col>
      <xdr:colOff>516954</xdr:colOff>
      <xdr:row>43</xdr:row>
      <xdr:rowOff>50881</xdr:rowOff>
    </xdr:from>
    <xdr:to>
      <xdr:col>221</xdr:col>
      <xdr:colOff>215414</xdr:colOff>
      <xdr:row>59</xdr:row>
      <xdr:rowOff>256124</xdr:rowOff>
    </xdr:to>
    <xdr:pic>
      <xdr:nvPicPr>
        <xdr:cNvPr id="5" name="Picture 4">
          <a:extLst>
            <a:ext uri="{FF2B5EF4-FFF2-40B4-BE49-F238E27FC236}">
              <a16:creationId xmlns:a16="http://schemas.microsoft.com/office/drawing/2014/main" id="{4684BA8E-84F1-4FEA-DEE1-956C8203D41D}"/>
            </a:ext>
          </a:extLst>
        </xdr:cNvPr>
        <xdr:cNvPicPr>
          <a:picLocks noChangeAspect="1"/>
        </xdr:cNvPicPr>
      </xdr:nvPicPr>
      <xdr:blipFill>
        <a:blip xmlns:r="http://schemas.openxmlformats.org/officeDocument/2006/relationships" r:embed="rId5"/>
        <a:stretch>
          <a:fillRect/>
        </a:stretch>
      </xdr:blipFill>
      <xdr:spPr>
        <a:xfrm>
          <a:off x="53751121" y="16005256"/>
          <a:ext cx="7635960" cy="6131910"/>
        </a:xfrm>
        <a:prstGeom prst="rect">
          <a:avLst/>
        </a:prstGeom>
      </xdr:spPr>
    </xdr:pic>
    <xdr:clientData/>
  </xdr:twoCellAnchor>
  <xdr:twoCellAnchor editAs="oneCell">
    <xdr:from>
      <xdr:col>224</xdr:col>
      <xdr:colOff>16281</xdr:colOff>
      <xdr:row>42</xdr:row>
      <xdr:rowOff>291042</xdr:rowOff>
    </xdr:from>
    <xdr:to>
      <xdr:col>235</xdr:col>
      <xdr:colOff>355112</xdr:colOff>
      <xdr:row>59</xdr:row>
      <xdr:rowOff>78236</xdr:rowOff>
    </xdr:to>
    <xdr:pic>
      <xdr:nvPicPr>
        <xdr:cNvPr id="6" name="Picture 5">
          <a:extLst>
            <a:ext uri="{FF2B5EF4-FFF2-40B4-BE49-F238E27FC236}">
              <a16:creationId xmlns:a16="http://schemas.microsoft.com/office/drawing/2014/main" id="{27EFEDC4-94BB-2239-8710-42C60DE1D2C9}"/>
            </a:ext>
          </a:extLst>
        </xdr:cNvPr>
        <xdr:cNvPicPr>
          <a:picLocks noChangeAspect="1"/>
        </xdr:cNvPicPr>
      </xdr:nvPicPr>
      <xdr:blipFill>
        <a:blip xmlns:r="http://schemas.openxmlformats.org/officeDocument/2006/relationships" r:embed="rId6"/>
        <a:stretch>
          <a:fillRect/>
        </a:stretch>
      </xdr:blipFill>
      <xdr:spPr>
        <a:xfrm>
          <a:off x="63172323" y="15875000"/>
          <a:ext cx="7614872" cy="6084278"/>
        </a:xfrm>
        <a:prstGeom prst="rect">
          <a:avLst/>
        </a:prstGeom>
      </xdr:spPr>
    </xdr:pic>
    <xdr:clientData/>
  </xdr:twoCellAnchor>
  <xdr:twoCellAnchor editAs="oneCell">
    <xdr:from>
      <xdr:col>231</xdr:col>
      <xdr:colOff>174238</xdr:colOff>
      <xdr:row>12</xdr:row>
      <xdr:rowOff>69695</xdr:rowOff>
    </xdr:from>
    <xdr:to>
      <xdr:col>247</xdr:col>
      <xdr:colOff>202333</xdr:colOff>
      <xdr:row>27</xdr:row>
      <xdr:rowOff>2556</xdr:rowOff>
    </xdr:to>
    <xdr:pic>
      <xdr:nvPicPr>
        <xdr:cNvPr id="8" name="Picture 7">
          <a:extLst>
            <a:ext uri="{FF2B5EF4-FFF2-40B4-BE49-F238E27FC236}">
              <a16:creationId xmlns:a16="http://schemas.microsoft.com/office/drawing/2014/main" id="{C62DADFD-B0FB-3B15-7D9C-1ADAC32FC74D}"/>
            </a:ext>
          </a:extLst>
        </xdr:cNvPr>
        <xdr:cNvPicPr>
          <a:picLocks noChangeAspect="1"/>
        </xdr:cNvPicPr>
      </xdr:nvPicPr>
      <xdr:blipFill>
        <a:blip xmlns:r="http://schemas.openxmlformats.org/officeDocument/2006/relationships" r:embed="rId7"/>
        <a:stretch>
          <a:fillRect/>
        </a:stretch>
      </xdr:blipFill>
      <xdr:spPr>
        <a:xfrm>
          <a:off x="67960488" y="4541153"/>
          <a:ext cx="10611428" cy="5489111"/>
        </a:xfrm>
        <a:prstGeom prst="rect">
          <a:avLst/>
        </a:prstGeom>
      </xdr:spPr>
    </xdr:pic>
    <xdr:clientData/>
  </xdr:twoCellAnchor>
  <xdr:twoCellAnchor editAs="oneCell">
    <xdr:from>
      <xdr:col>217</xdr:col>
      <xdr:colOff>317502</xdr:colOff>
      <xdr:row>33</xdr:row>
      <xdr:rowOff>52918</xdr:rowOff>
    </xdr:from>
    <xdr:to>
      <xdr:col>232</xdr:col>
      <xdr:colOff>562200</xdr:colOff>
      <xdr:row>40</xdr:row>
      <xdr:rowOff>52916</xdr:rowOff>
    </xdr:to>
    <xdr:pic>
      <xdr:nvPicPr>
        <xdr:cNvPr id="9" name="Picture 8">
          <a:extLst>
            <a:ext uri="{FF2B5EF4-FFF2-40B4-BE49-F238E27FC236}">
              <a16:creationId xmlns:a16="http://schemas.microsoft.com/office/drawing/2014/main" id="{DCABDFF1-1D3C-07AE-FF59-1B72E9400047}"/>
            </a:ext>
          </a:extLst>
        </xdr:cNvPr>
        <xdr:cNvPicPr>
          <a:picLocks noChangeAspect="1"/>
        </xdr:cNvPicPr>
      </xdr:nvPicPr>
      <xdr:blipFill>
        <a:blip xmlns:r="http://schemas.openxmlformats.org/officeDocument/2006/relationships" r:embed="rId8"/>
        <a:stretch>
          <a:fillRect/>
        </a:stretch>
      </xdr:blipFill>
      <xdr:spPr>
        <a:xfrm>
          <a:off x="58843335" y="12303126"/>
          <a:ext cx="10166573" cy="2592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ED7C4-FBF5-447D-85F3-13E53566EF88}">
  <sheetPr>
    <pageSetUpPr fitToPage="1"/>
  </sheetPr>
  <dimension ref="A1:IJ50"/>
  <sheetViews>
    <sheetView showGridLines="0" showRuler="0" topLeftCell="B2" zoomScale="64" zoomScaleNormal="100" zoomScalePageLayoutView="70" workbookViewId="0">
      <selection activeCell="B2" sqref="B2"/>
    </sheetView>
  </sheetViews>
  <sheetFormatPr defaultColWidth="8.75" defaultRowHeight="30" customHeight="1" x14ac:dyDescent="0.2"/>
  <cols>
    <col min="1" max="1" width="2.75" style="10" customWidth="1"/>
    <col min="2" max="2" width="22.75" customWidth="1"/>
    <col min="3" max="3" width="10.75" customWidth="1"/>
    <col min="4" max="4" width="10.75" style="2" customWidth="1"/>
    <col min="5" max="5" width="10.75" customWidth="1"/>
    <col min="6" max="6" width="2.75" customWidth="1"/>
    <col min="7" max="7" width="6" hidden="1" customWidth="1"/>
    <col min="8" max="196" width="2.75" customWidth="1"/>
  </cols>
  <sheetData>
    <row r="1" spans="1:244" ht="90" customHeight="1" x14ac:dyDescent="1.1000000000000001">
      <c r="A1" s="11"/>
      <c r="B1" s="69" t="s">
        <v>21</v>
      </c>
      <c r="C1" s="13"/>
      <c r="D1" s="14"/>
      <c r="E1" s="15"/>
      <c r="G1" s="1"/>
      <c r="H1" s="115" t="s">
        <v>19</v>
      </c>
      <c r="I1" s="116"/>
      <c r="J1" s="116"/>
      <c r="K1" s="116"/>
      <c r="L1" s="116"/>
      <c r="M1" s="116"/>
      <c r="N1" s="116"/>
      <c r="O1" s="18"/>
      <c r="P1" s="117">
        <f>DATE(2026,2,9)</f>
        <v>46062</v>
      </c>
      <c r="Q1" s="118"/>
      <c r="R1" s="118"/>
      <c r="S1" s="118"/>
      <c r="T1" s="118"/>
      <c r="U1" s="118"/>
      <c r="V1" s="118"/>
      <c r="W1" s="118"/>
      <c r="X1" s="118"/>
      <c r="Y1" s="118"/>
      <c r="AC1" s="115" t="s">
        <v>19</v>
      </c>
      <c r="AD1" s="116"/>
      <c r="AE1" s="116"/>
      <c r="AF1" s="116"/>
      <c r="AG1" s="116"/>
      <c r="AH1" s="116"/>
      <c r="AI1" s="116"/>
      <c r="AJ1" s="117">
        <f>DATE(2026,8,9)</f>
        <v>46243</v>
      </c>
      <c r="AK1" s="118"/>
      <c r="AL1" s="118"/>
      <c r="AM1" s="118"/>
      <c r="AN1" s="118"/>
      <c r="AO1" s="118"/>
      <c r="AP1" s="118"/>
      <c r="AQ1" s="118"/>
      <c r="AR1" s="118"/>
      <c r="AS1" s="118"/>
    </row>
    <row r="2" spans="1:244" ht="30" customHeight="1" x14ac:dyDescent="0.5">
      <c r="B2" s="68" t="s">
        <v>22</v>
      </c>
      <c r="C2" s="16"/>
      <c r="D2" s="17"/>
      <c r="E2" s="16"/>
      <c r="H2" s="115" t="s">
        <v>20</v>
      </c>
      <c r="I2" s="116"/>
      <c r="J2" s="116"/>
      <c r="K2" s="116"/>
      <c r="L2" s="116"/>
      <c r="M2" s="116"/>
      <c r="N2" s="116"/>
      <c r="O2" s="18"/>
      <c r="P2" s="119">
        <v>1</v>
      </c>
      <c r="Q2" s="118"/>
      <c r="R2" s="118"/>
      <c r="S2" s="118"/>
      <c r="T2" s="118"/>
      <c r="U2" s="118"/>
      <c r="V2" s="118"/>
      <c r="W2" s="118"/>
      <c r="X2" s="118"/>
      <c r="Y2" s="118"/>
    </row>
    <row r="3" spans="1:244" s="20" customFormat="1" ht="30" customHeight="1" x14ac:dyDescent="0.25">
      <c r="A3" s="10"/>
      <c r="B3" s="19"/>
      <c r="C3" s="21"/>
      <c r="D3" s="22"/>
    </row>
    <row r="4" spans="1:244" s="20" customFormat="1" ht="30" customHeight="1" x14ac:dyDescent="0.2">
      <c r="A4" s="11"/>
      <c r="B4" s="23"/>
      <c r="D4" s="24"/>
      <c r="H4" s="120">
        <f>H5</f>
        <v>46062</v>
      </c>
      <c r="I4" s="114"/>
      <c r="J4" s="114"/>
      <c r="K4" s="114"/>
      <c r="L4" s="114"/>
      <c r="M4" s="114"/>
      <c r="N4" s="114"/>
      <c r="O4" s="114">
        <f>O5</f>
        <v>46069</v>
      </c>
      <c r="P4" s="114"/>
      <c r="Q4" s="114"/>
      <c r="R4" s="114"/>
      <c r="S4" s="114"/>
      <c r="T4" s="114"/>
      <c r="U4" s="114"/>
      <c r="V4" s="114">
        <f>V5</f>
        <v>46076</v>
      </c>
      <c r="W4" s="114"/>
      <c r="X4" s="114"/>
      <c r="Y4" s="114"/>
      <c r="Z4" s="114"/>
      <c r="AA4" s="114"/>
      <c r="AB4" s="114"/>
      <c r="AC4" s="114">
        <f>AC5</f>
        <v>46083</v>
      </c>
      <c r="AD4" s="114"/>
      <c r="AE4" s="114"/>
      <c r="AF4" s="114"/>
      <c r="AG4" s="114"/>
      <c r="AH4" s="114"/>
      <c r="AI4" s="114"/>
      <c r="AJ4" s="114">
        <f>AJ5</f>
        <v>46090</v>
      </c>
      <c r="AK4" s="114"/>
      <c r="AL4" s="114"/>
      <c r="AM4" s="114"/>
      <c r="AN4" s="114"/>
      <c r="AO4" s="114"/>
      <c r="AP4" s="114"/>
      <c r="AQ4" s="114">
        <f>AQ5</f>
        <v>46097</v>
      </c>
      <c r="AR4" s="114"/>
      <c r="AS4" s="114"/>
      <c r="AT4" s="114"/>
      <c r="AU4" s="114"/>
      <c r="AV4" s="114"/>
      <c r="AW4" s="114"/>
      <c r="AX4" s="114">
        <f>AX5</f>
        <v>46104</v>
      </c>
      <c r="AY4" s="114"/>
      <c r="AZ4" s="114"/>
      <c r="BA4" s="114"/>
      <c r="BB4" s="114"/>
      <c r="BC4" s="114"/>
      <c r="BD4" s="114"/>
      <c r="BE4" s="114">
        <f>BE5</f>
        <v>46111</v>
      </c>
      <c r="BF4" s="114"/>
      <c r="BG4" s="114"/>
      <c r="BH4" s="114"/>
      <c r="BI4" s="114"/>
      <c r="BJ4" s="114"/>
      <c r="BK4" s="121"/>
      <c r="BL4" s="114">
        <f>BL5</f>
        <v>46118</v>
      </c>
      <c r="BM4" s="114"/>
      <c r="BN4" s="114"/>
      <c r="BO4" s="114"/>
      <c r="BP4" s="114"/>
      <c r="BQ4" s="114"/>
      <c r="BR4" s="121"/>
      <c r="BS4" s="114">
        <f>BS5</f>
        <v>46125</v>
      </c>
      <c r="BT4" s="114"/>
      <c r="BU4" s="114"/>
      <c r="BV4" s="114"/>
      <c r="BW4" s="114"/>
      <c r="BX4" s="114"/>
      <c r="BY4" s="121"/>
      <c r="BZ4" s="114">
        <f t="shared" ref="BZ4" si="0">BZ5</f>
        <v>46132</v>
      </c>
      <c r="CA4" s="114"/>
      <c r="CB4" s="114"/>
      <c r="CC4" s="114"/>
      <c r="CD4" s="114"/>
      <c r="CE4" s="114"/>
      <c r="CF4" s="121"/>
      <c r="CG4" s="114">
        <f t="shared" ref="CG4" si="1">CG5</f>
        <v>46139</v>
      </c>
      <c r="CH4" s="114"/>
      <c r="CI4" s="114"/>
      <c r="CJ4" s="114"/>
      <c r="CK4" s="114"/>
      <c r="CL4" s="114"/>
      <c r="CM4" s="121"/>
      <c r="CN4" s="114">
        <f t="shared" ref="CN4" si="2">CN5</f>
        <v>46146</v>
      </c>
      <c r="CO4" s="114"/>
      <c r="CP4" s="114"/>
      <c r="CQ4" s="114"/>
      <c r="CR4" s="114"/>
      <c r="CS4" s="114"/>
      <c r="CT4" s="121"/>
      <c r="CU4" s="114">
        <f t="shared" ref="CU4" si="3">CU5</f>
        <v>46153</v>
      </c>
      <c r="CV4" s="114"/>
      <c r="CW4" s="114"/>
      <c r="CX4" s="114"/>
      <c r="CY4" s="114"/>
      <c r="CZ4" s="114"/>
      <c r="DA4" s="121"/>
      <c r="DB4" s="114">
        <f t="shared" ref="DB4" si="4">DB5</f>
        <v>46160</v>
      </c>
      <c r="DC4" s="114"/>
      <c r="DD4" s="114"/>
      <c r="DE4" s="114"/>
      <c r="DF4" s="114"/>
      <c r="DG4" s="114"/>
      <c r="DH4" s="121"/>
      <c r="DI4" s="114">
        <f t="shared" ref="DI4" si="5">DI5</f>
        <v>46167</v>
      </c>
      <c r="DJ4" s="114"/>
      <c r="DK4" s="114"/>
      <c r="DL4" s="114"/>
      <c r="DM4" s="114"/>
      <c r="DN4" s="114"/>
      <c r="DO4" s="121"/>
      <c r="DP4" s="114">
        <f t="shared" ref="DP4" si="6">DP5</f>
        <v>46174</v>
      </c>
      <c r="DQ4" s="114"/>
      <c r="DR4" s="114"/>
      <c r="DS4" s="114"/>
      <c r="DT4" s="114"/>
      <c r="DU4" s="114"/>
      <c r="DV4" s="121"/>
      <c r="DW4" s="114">
        <f t="shared" ref="DW4" si="7">DW5</f>
        <v>46181</v>
      </c>
      <c r="DX4" s="114"/>
      <c r="DY4" s="114"/>
      <c r="DZ4" s="114"/>
      <c r="EA4" s="114"/>
      <c r="EB4" s="114"/>
      <c r="EC4" s="121"/>
      <c r="ED4" s="114">
        <f t="shared" ref="ED4" si="8">ED5</f>
        <v>46188</v>
      </c>
      <c r="EE4" s="114"/>
      <c r="EF4" s="114"/>
      <c r="EG4" s="114"/>
      <c r="EH4" s="114"/>
      <c r="EI4" s="114"/>
      <c r="EJ4" s="121"/>
      <c r="EK4" s="114">
        <f t="shared" ref="EK4" si="9">EK5</f>
        <v>46195</v>
      </c>
      <c r="EL4" s="114"/>
      <c r="EM4" s="114"/>
      <c r="EN4" s="114"/>
      <c r="EO4" s="114"/>
      <c r="EP4" s="114"/>
      <c r="EQ4" s="121"/>
      <c r="ER4" s="114">
        <f t="shared" ref="ER4" si="10">ER5</f>
        <v>46202</v>
      </c>
      <c r="ES4" s="114"/>
      <c r="ET4" s="114"/>
      <c r="EU4" s="114"/>
      <c r="EV4" s="114"/>
      <c r="EW4" s="114"/>
      <c r="EX4" s="121"/>
      <c r="EY4" s="114">
        <f t="shared" ref="EY4" si="11">EY5</f>
        <v>46209</v>
      </c>
      <c r="EZ4" s="114"/>
      <c r="FA4" s="114"/>
      <c r="FB4" s="114"/>
      <c r="FC4" s="114"/>
      <c r="FD4" s="114"/>
      <c r="FE4" s="121"/>
      <c r="FF4" s="114">
        <f t="shared" ref="FF4" si="12">FF5</f>
        <v>46216</v>
      </c>
      <c r="FG4" s="114"/>
      <c r="FH4" s="114"/>
      <c r="FI4" s="114"/>
      <c r="FJ4" s="114"/>
      <c r="FK4" s="114"/>
      <c r="FL4" s="121"/>
      <c r="FM4" s="114">
        <f t="shared" ref="FM4" si="13">FM5</f>
        <v>46223</v>
      </c>
      <c r="FN4" s="114"/>
      <c r="FO4" s="114"/>
      <c r="FP4" s="114"/>
      <c r="FQ4" s="114"/>
      <c r="FR4" s="114"/>
      <c r="FS4" s="121"/>
      <c r="FT4" s="114">
        <f t="shared" ref="FT4" si="14">FT5</f>
        <v>46230</v>
      </c>
      <c r="FU4" s="114"/>
      <c r="FV4" s="114"/>
      <c r="FW4" s="114"/>
      <c r="FX4" s="114"/>
      <c r="FY4" s="114"/>
      <c r="FZ4" s="121"/>
      <c r="GA4" s="114">
        <f t="shared" ref="GA4" si="15">GA5</f>
        <v>46237</v>
      </c>
      <c r="GB4" s="114"/>
      <c r="GC4" s="114"/>
      <c r="GD4" s="114"/>
      <c r="GE4" s="114"/>
      <c r="GF4" s="114"/>
      <c r="GG4" s="121"/>
      <c r="GH4" s="114">
        <f t="shared" ref="GH4" si="16">GH5</f>
        <v>46244</v>
      </c>
      <c r="GI4" s="114"/>
      <c r="GJ4" s="114"/>
      <c r="GK4" s="114"/>
      <c r="GL4" s="114"/>
      <c r="GM4" s="114"/>
      <c r="GN4" s="121"/>
    </row>
    <row r="5" spans="1:244" s="20" customFormat="1" ht="15" x14ac:dyDescent="0.2">
      <c r="A5" s="122"/>
      <c r="B5" s="123" t="s">
        <v>4</v>
      </c>
      <c r="C5" s="125" t="s">
        <v>0</v>
      </c>
      <c r="D5" s="125" t="s">
        <v>2</v>
      </c>
      <c r="E5" s="125" t="s">
        <v>3</v>
      </c>
      <c r="H5" s="25">
        <f>Project_Start-WEEKDAY(Project_Start,1)+2+7*(Display_Week-1)</f>
        <v>46062</v>
      </c>
      <c r="I5" s="25">
        <f>H5+1</f>
        <v>46063</v>
      </c>
      <c r="J5" s="25">
        <f t="shared" ref="J5:AW5" si="17">I5+1</f>
        <v>46064</v>
      </c>
      <c r="K5" s="25">
        <f t="shared" si="17"/>
        <v>46065</v>
      </c>
      <c r="L5" s="25">
        <f t="shared" si="17"/>
        <v>46066</v>
      </c>
      <c r="M5" s="25">
        <f t="shared" si="17"/>
        <v>46067</v>
      </c>
      <c r="N5" s="26">
        <f t="shared" si="17"/>
        <v>46068</v>
      </c>
      <c r="O5" s="27">
        <f>N5+1</f>
        <v>46069</v>
      </c>
      <c r="P5" s="25">
        <f>O5+1</f>
        <v>46070</v>
      </c>
      <c r="Q5" s="25">
        <f t="shared" si="17"/>
        <v>46071</v>
      </c>
      <c r="R5" s="25">
        <f t="shared" si="17"/>
        <v>46072</v>
      </c>
      <c r="S5" s="25">
        <f t="shared" si="17"/>
        <v>46073</v>
      </c>
      <c r="T5" s="25">
        <f t="shared" si="17"/>
        <v>46074</v>
      </c>
      <c r="U5" s="26">
        <f t="shared" si="17"/>
        <v>46075</v>
      </c>
      <c r="V5" s="27">
        <f>U5+1</f>
        <v>46076</v>
      </c>
      <c r="W5" s="25">
        <f>V5+1</f>
        <v>46077</v>
      </c>
      <c r="X5" s="25">
        <f t="shared" si="17"/>
        <v>46078</v>
      </c>
      <c r="Y5" s="25">
        <f t="shared" si="17"/>
        <v>46079</v>
      </c>
      <c r="Z5" s="25">
        <f t="shared" si="17"/>
        <v>46080</v>
      </c>
      <c r="AA5" s="25">
        <f t="shared" si="17"/>
        <v>46081</v>
      </c>
      <c r="AB5" s="26">
        <f t="shared" si="17"/>
        <v>46082</v>
      </c>
      <c r="AC5" s="27">
        <f>AB5+1</f>
        <v>46083</v>
      </c>
      <c r="AD5" s="25">
        <f>AC5+1</f>
        <v>46084</v>
      </c>
      <c r="AE5" s="25">
        <f t="shared" si="17"/>
        <v>46085</v>
      </c>
      <c r="AF5" s="25">
        <f t="shared" si="17"/>
        <v>46086</v>
      </c>
      <c r="AG5" s="25">
        <f t="shared" si="17"/>
        <v>46087</v>
      </c>
      <c r="AH5" s="25">
        <f t="shared" si="17"/>
        <v>46088</v>
      </c>
      <c r="AI5" s="26">
        <f t="shared" si="17"/>
        <v>46089</v>
      </c>
      <c r="AJ5" s="27">
        <f>AI5+1</f>
        <v>46090</v>
      </c>
      <c r="AK5" s="25">
        <f>AJ5+1</f>
        <v>46091</v>
      </c>
      <c r="AL5" s="25">
        <f t="shared" si="17"/>
        <v>46092</v>
      </c>
      <c r="AM5" s="25">
        <f t="shared" si="17"/>
        <v>46093</v>
      </c>
      <c r="AN5" s="25">
        <f t="shared" si="17"/>
        <v>46094</v>
      </c>
      <c r="AO5" s="25">
        <f t="shared" si="17"/>
        <v>46095</v>
      </c>
      <c r="AP5" s="26">
        <f t="shared" si="17"/>
        <v>46096</v>
      </c>
      <c r="AQ5" s="27">
        <f>AP5+1</f>
        <v>46097</v>
      </c>
      <c r="AR5" s="25">
        <f>AQ5+1</f>
        <v>46098</v>
      </c>
      <c r="AS5" s="25">
        <f t="shared" si="17"/>
        <v>46099</v>
      </c>
      <c r="AT5" s="25">
        <f t="shared" si="17"/>
        <v>46100</v>
      </c>
      <c r="AU5" s="25">
        <f t="shared" si="17"/>
        <v>46101</v>
      </c>
      <c r="AV5" s="25">
        <f t="shared" si="17"/>
        <v>46102</v>
      </c>
      <c r="AW5" s="26">
        <f t="shared" si="17"/>
        <v>46103</v>
      </c>
      <c r="AX5" s="27">
        <f>AW5+1</f>
        <v>46104</v>
      </c>
      <c r="AY5" s="25">
        <f>AX5+1</f>
        <v>46105</v>
      </c>
      <c r="AZ5" s="25">
        <f t="shared" ref="AZ5:BD5" si="18">AY5+1</f>
        <v>46106</v>
      </c>
      <c r="BA5" s="25">
        <f t="shared" si="18"/>
        <v>46107</v>
      </c>
      <c r="BB5" s="25">
        <f t="shared" si="18"/>
        <v>46108</v>
      </c>
      <c r="BC5" s="25">
        <f t="shared" si="18"/>
        <v>46109</v>
      </c>
      <c r="BD5" s="26">
        <f t="shared" si="18"/>
        <v>46110</v>
      </c>
      <c r="BE5" s="27">
        <f>BD5+1</f>
        <v>46111</v>
      </c>
      <c r="BF5" s="25">
        <f>BE5+1</f>
        <v>46112</v>
      </c>
      <c r="BG5" s="25">
        <f t="shared" ref="BG5:BN5" si="19">BF5+1</f>
        <v>46113</v>
      </c>
      <c r="BH5" s="25">
        <f t="shared" si="19"/>
        <v>46114</v>
      </c>
      <c r="BI5" s="25">
        <f t="shared" si="19"/>
        <v>46115</v>
      </c>
      <c r="BJ5" s="25">
        <f t="shared" si="19"/>
        <v>46116</v>
      </c>
      <c r="BK5" s="25">
        <f t="shared" si="19"/>
        <v>46117</v>
      </c>
      <c r="BL5" s="25">
        <f t="shared" si="19"/>
        <v>46118</v>
      </c>
      <c r="BM5" s="25">
        <f t="shared" si="19"/>
        <v>46119</v>
      </c>
      <c r="BN5" s="25">
        <f t="shared" si="19"/>
        <v>46120</v>
      </c>
      <c r="BO5" s="25">
        <f>BN5+1</f>
        <v>46121</v>
      </c>
      <c r="BP5" s="25">
        <f t="shared" ref="BP5:EA5" si="20">BO5+1</f>
        <v>46122</v>
      </c>
      <c r="BQ5" s="25">
        <f t="shared" si="20"/>
        <v>46123</v>
      </c>
      <c r="BR5" s="25">
        <f t="shared" si="20"/>
        <v>46124</v>
      </c>
      <c r="BS5" s="25">
        <f t="shared" si="20"/>
        <v>46125</v>
      </c>
      <c r="BT5" s="25">
        <f t="shared" si="20"/>
        <v>46126</v>
      </c>
      <c r="BU5" s="25">
        <f t="shared" si="20"/>
        <v>46127</v>
      </c>
      <c r="BV5" s="25">
        <f t="shared" si="20"/>
        <v>46128</v>
      </c>
      <c r="BW5" s="25">
        <f t="shared" si="20"/>
        <v>46129</v>
      </c>
      <c r="BX5" s="25">
        <f t="shared" si="20"/>
        <v>46130</v>
      </c>
      <c r="BY5" s="25">
        <f t="shared" si="20"/>
        <v>46131</v>
      </c>
      <c r="BZ5" s="25">
        <f t="shared" si="20"/>
        <v>46132</v>
      </c>
      <c r="CA5" s="25">
        <f t="shared" si="20"/>
        <v>46133</v>
      </c>
      <c r="CB5" s="25">
        <f t="shared" si="20"/>
        <v>46134</v>
      </c>
      <c r="CC5" s="25">
        <f t="shared" si="20"/>
        <v>46135</v>
      </c>
      <c r="CD5" s="25">
        <f t="shared" si="20"/>
        <v>46136</v>
      </c>
      <c r="CE5" s="25">
        <f t="shared" si="20"/>
        <v>46137</v>
      </c>
      <c r="CF5" s="25">
        <f t="shared" si="20"/>
        <v>46138</v>
      </c>
      <c r="CG5" s="25">
        <f t="shared" si="20"/>
        <v>46139</v>
      </c>
      <c r="CH5" s="25">
        <f t="shared" si="20"/>
        <v>46140</v>
      </c>
      <c r="CI5" s="25">
        <f t="shared" si="20"/>
        <v>46141</v>
      </c>
      <c r="CJ5" s="25">
        <f t="shared" si="20"/>
        <v>46142</v>
      </c>
      <c r="CK5" s="25">
        <f t="shared" si="20"/>
        <v>46143</v>
      </c>
      <c r="CL5" s="25">
        <f t="shared" si="20"/>
        <v>46144</v>
      </c>
      <c r="CM5" s="25">
        <f t="shared" si="20"/>
        <v>46145</v>
      </c>
      <c r="CN5" s="25">
        <f t="shared" si="20"/>
        <v>46146</v>
      </c>
      <c r="CO5" s="25">
        <f t="shared" si="20"/>
        <v>46147</v>
      </c>
      <c r="CP5" s="25">
        <f t="shared" si="20"/>
        <v>46148</v>
      </c>
      <c r="CQ5" s="25">
        <f t="shared" si="20"/>
        <v>46149</v>
      </c>
      <c r="CR5" s="25">
        <f t="shared" si="20"/>
        <v>46150</v>
      </c>
      <c r="CS5" s="25">
        <f t="shared" si="20"/>
        <v>46151</v>
      </c>
      <c r="CT5" s="25">
        <f t="shared" si="20"/>
        <v>46152</v>
      </c>
      <c r="CU5" s="25">
        <f t="shared" si="20"/>
        <v>46153</v>
      </c>
      <c r="CV5" s="25">
        <f t="shared" si="20"/>
        <v>46154</v>
      </c>
      <c r="CW5" s="25">
        <f t="shared" si="20"/>
        <v>46155</v>
      </c>
      <c r="CX5" s="25">
        <f t="shared" si="20"/>
        <v>46156</v>
      </c>
      <c r="CY5" s="25">
        <f t="shared" si="20"/>
        <v>46157</v>
      </c>
      <c r="CZ5" s="25">
        <f t="shared" si="20"/>
        <v>46158</v>
      </c>
      <c r="DA5" s="25">
        <f t="shared" si="20"/>
        <v>46159</v>
      </c>
      <c r="DB5" s="25">
        <f t="shared" si="20"/>
        <v>46160</v>
      </c>
      <c r="DC5" s="25">
        <f t="shared" si="20"/>
        <v>46161</v>
      </c>
      <c r="DD5" s="25">
        <f t="shared" si="20"/>
        <v>46162</v>
      </c>
      <c r="DE5" s="25">
        <f t="shared" si="20"/>
        <v>46163</v>
      </c>
      <c r="DF5" s="25">
        <f t="shared" si="20"/>
        <v>46164</v>
      </c>
      <c r="DG5" s="25">
        <f t="shared" si="20"/>
        <v>46165</v>
      </c>
      <c r="DH5" s="25">
        <f t="shared" si="20"/>
        <v>46166</v>
      </c>
      <c r="DI5" s="25">
        <f t="shared" si="20"/>
        <v>46167</v>
      </c>
      <c r="DJ5" s="25">
        <f t="shared" si="20"/>
        <v>46168</v>
      </c>
      <c r="DK5" s="25">
        <f t="shared" si="20"/>
        <v>46169</v>
      </c>
      <c r="DL5" s="25">
        <f t="shared" si="20"/>
        <v>46170</v>
      </c>
      <c r="DM5" s="25">
        <f t="shared" si="20"/>
        <v>46171</v>
      </c>
      <c r="DN5" s="25">
        <f t="shared" si="20"/>
        <v>46172</v>
      </c>
      <c r="DO5" s="25">
        <f t="shared" si="20"/>
        <v>46173</v>
      </c>
      <c r="DP5" s="25">
        <f t="shared" si="20"/>
        <v>46174</v>
      </c>
      <c r="DQ5" s="25">
        <f t="shared" si="20"/>
        <v>46175</v>
      </c>
      <c r="DR5" s="25">
        <f t="shared" si="20"/>
        <v>46176</v>
      </c>
      <c r="DS5" s="25">
        <f t="shared" si="20"/>
        <v>46177</v>
      </c>
      <c r="DT5" s="25">
        <f t="shared" si="20"/>
        <v>46178</v>
      </c>
      <c r="DU5" s="25">
        <f t="shared" si="20"/>
        <v>46179</v>
      </c>
      <c r="DV5" s="25">
        <f t="shared" si="20"/>
        <v>46180</v>
      </c>
      <c r="DW5" s="25">
        <f t="shared" si="20"/>
        <v>46181</v>
      </c>
      <c r="DX5" s="25">
        <f t="shared" si="20"/>
        <v>46182</v>
      </c>
      <c r="DY5" s="25">
        <f t="shared" si="20"/>
        <v>46183</v>
      </c>
      <c r="DZ5" s="25">
        <f t="shared" si="20"/>
        <v>46184</v>
      </c>
      <c r="EA5" s="25">
        <f t="shared" si="20"/>
        <v>46185</v>
      </c>
      <c r="EB5" s="25">
        <f t="shared" ref="EB5:GM5" si="21">EA5+1</f>
        <v>46186</v>
      </c>
      <c r="EC5" s="25">
        <f t="shared" si="21"/>
        <v>46187</v>
      </c>
      <c r="ED5" s="25">
        <f t="shared" si="21"/>
        <v>46188</v>
      </c>
      <c r="EE5" s="25">
        <f t="shared" si="21"/>
        <v>46189</v>
      </c>
      <c r="EF5" s="25">
        <f t="shared" si="21"/>
        <v>46190</v>
      </c>
      <c r="EG5" s="25">
        <f t="shared" si="21"/>
        <v>46191</v>
      </c>
      <c r="EH5" s="25">
        <f t="shared" si="21"/>
        <v>46192</v>
      </c>
      <c r="EI5" s="25">
        <f t="shared" si="21"/>
        <v>46193</v>
      </c>
      <c r="EJ5" s="25">
        <f t="shared" si="21"/>
        <v>46194</v>
      </c>
      <c r="EK5" s="25">
        <f t="shared" si="21"/>
        <v>46195</v>
      </c>
      <c r="EL5" s="25">
        <f t="shared" si="21"/>
        <v>46196</v>
      </c>
      <c r="EM5" s="25">
        <f t="shared" si="21"/>
        <v>46197</v>
      </c>
      <c r="EN5" s="25">
        <f t="shared" si="21"/>
        <v>46198</v>
      </c>
      <c r="EO5" s="25">
        <f t="shared" si="21"/>
        <v>46199</v>
      </c>
      <c r="EP5" s="25">
        <f t="shared" si="21"/>
        <v>46200</v>
      </c>
      <c r="EQ5" s="25">
        <f t="shared" si="21"/>
        <v>46201</v>
      </c>
      <c r="ER5" s="25">
        <f t="shared" si="21"/>
        <v>46202</v>
      </c>
      <c r="ES5" s="25">
        <f t="shared" si="21"/>
        <v>46203</v>
      </c>
      <c r="ET5" s="25">
        <f t="shared" si="21"/>
        <v>46204</v>
      </c>
      <c r="EU5" s="25">
        <f t="shared" si="21"/>
        <v>46205</v>
      </c>
      <c r="EV5" s="25">
        <f t="shared" si="21"/>
        <v>46206</v>
      </c>
      <c r="EW5" s="25">
        <f t="shared" si="21"/>
        <v>46207</v>
      </c>
      <c r="EX5" s="25">
        <f t="shared" si="21"/>
        <v>46208</v>
      </c>
      <c r="EY5" s="25">
        <f t="shared" si="21"/>
        <v>46209</v>
      </c>
      <c r="EZ5" s="25">
        <f t="shared" si="21"/>
        <v>46210</v>
      </c>
      <c r="FA5" s="25">
        <f t="shared" si="21"/>
        <v>46211</v>
      </c>
      <c r="FB5" s="25">
        <f t="shared" si="21"/>
        <v>46212</v>
      </c>
      <c r="FC5" s="25">
        <f t="shared" si="21"/>
        <v>46213</v>
      </c>
      <c r="FD5" s="25">
        <f t="shared" si="21"/>
        <v>46214</v>
      </c>
      <c r="FE5" s="25">
        <f t="shared" si="21"/>
        <v>46215</v>
      </c>
      <c r="FF5" s="25">
        <f t="shared" si="21"/>
        <v>46216</v>
      </c>
      <c r="FG5" s="25">
        <f t="shared" si="21"/>
        <v>46217</v>
      </c>
      <c r="FH5" s="25">
        <f t="shared" si="21"/>
        <v>46218</v>
      </c>
      <c r="FI5" s="25">
        <f t="shared" si="21"/>
        <v>46219</v>
      </c>
      <c r="FJ5" s="25">
        <f t="shared" si="21"/>
        <v>46220</v>
      </c>
      <c r="FK5" s="25">
        <f t="shared" si="21"/>
        <v>46221</v>
      </c>
      <c r="FL5" s="25">
        <f t="shared" si="21"/>
        <v>46222</v>
      </c>
      <c r="FM5" s="25">
        <f t="shared" si="21"/>
        <v>46223</v>
      </c>
      <c r="FN5" s="25">
        <f t="shared" si="21"/>
        <v>46224</v>
      </c>
      <c r="FO5" s="25">
        <f t="shared" si="21"/>
        <v>46225</v>
      </c>
      <c r="FP5" s="25">
        <f t="shared" si="21"/>
        <v>46226</v>
      </c>
      <c r="FQ5" s="25">
        <f t="shared" si="21"/>
        <v>46227</v>
      </c>
      <c r="FR5" s="25">
        <f t="shared" si="21"/>
        <v>46228</v>
      </c>
      <c r="FS5" s="25">
        <f t="shared" si="21"/>
        <v>46229</v>
      </c>
      <c r="FT5" s="25">
        <f t="shared" si="21"/>
        <v>46230</v>
      </c>
      <c r="FU5" s="25">
        <f t="shared" si="21"/>
        <v>46231</v>
      </c>
      <c r="FV5" s="25">
        <f t="shared" si="21"/>
        <v>46232</v>
      </c>
      <c r="FW5" s="25">
        <f t="shared" si="21"/>
        <v>46233</v>
      </c>
      <c r="FX5" s="25">
        <f t="shared" si="21"/>
        <v>46234</v>
      </c>
      <c r="FY5" s="25">
        <f t="shared" si="21"/>
        <v>46235</v>
      </c>
      <c r="FZ5" s="25">
        <f t="shared" si="21"/>
        <v>46236</v>
      </c>
      <c r="GA5" s="25">
        <f t="shared" si="21"/>
        <v>46237</v>
      </c>
      <c r="GB5" s="25">
        <f t="shared" si="21"/>
        <v>46238</v>
      </c>
      <c r="GC5" s="25">
        <f t="shared" si="21"/>
        <v>46239</v>
      </c>
      <c r="GD5" s="25">
        <f t="shared" si="21"/>
        <v>46240</v>
      </c>
      <c r="GE5" s="25">
        <f t="shared" si="21"/>
        <v>46241</v>
      </c>
      <c r="GF5" s="25">
        <f t="shared" si="21"/>
        <v>46242</v>
      </c>
      <c r="GG5" s="25">
        <f t="shared" si="21"/>
        <v>46243</v>
      </c>
      <c r="GH5" s="25">
        <f t="shared" si="21"/>
        <v>46244</v>
      </c>
      <c r="GI5" s="25">
        <f t="shared" si="21"/>
        <v>46245</v>
      </c>
      <c r="GJ5" s="25">
        <f t="shared" si="21"/>
        <v>46246</v>
      </c>
      <c r="GK5" s="25">
        <f t="shared" si="21"/>
        <v>46247</v>
      </c>
      <c r="GL5" s="25">
        <f t="shared" si="21"/>
        <v>46248</v>
      </c>
      <c r="GM5" s="25">
        <f t="shared" si="21"/>
        <v>46249</v>
      </c>
      <c r="GN5" s="25">
        <f t="shared" ref="GN5" si="22">GM5+1</f>
        <v>46250</v>
      </c>
      <c r="GX5" s="100"/>
      <c r="GY5" s="100"/>
      <c r="GZ5" s="100"/>
      <c r="HA5" s="100"/>
      <c r="HB5" s="100"/>
      <c r="HC5" s="100"/>
      <c r="HD5" s="100"/>
      <c r="HE5" s="100"/>
      <c r="HF5" s="100"/>
      <c r="HG5" s="100"/>
      <c r="HH5" s="100"/>
      <c r="HI5" s="100"/>
    </row>
    <row r="6" spans="1:244" s="20" customFormat="1" ht="15" thickBot="1" x14ac:dyDescent="0.25">
      <c r="A6" s="122"/>
      <c r="B6" s="124"/>
      <c r="C6" s="126"/>
      <c r="D6" s="126"/>
      <c r="E6" s="126"/>
      <c r="H6" s="28" t="str">
        <f t="shared" ref="H6:BS6" si="23">LEFT(TEXT(H5,"ddd"),1)</f>
        <v>M</v>
      </c>
      <c r="I6" s="29" t="str">
        <f t="shared" si="23"/>
        <v>T</v>
      </c>
      <c r="J6" s="29" t="str">
        <f t="shared" si="23"/>
        <v>W</v>
      </c>
      <c r="K6" s="29" t="str">
        <f t="shared" si="23"/>
        <v>T</v>
      </c>
      <c r="L6" s="29" t="str">
        <f t="shared" si="23"/>
        <v>F</v>
      </c>
      <c r="M6" s="29" t="str">
        <f t="shared" si="23"/>
        <v>S</v>
      </c>
      <c r="N6" s="29" t="str">
        <f t="shared" si="23"/>
        <v>S</v>
      </c>
      <c r="O6" s="29" t="str">
        <f t="shared" si="23"/>
        <v>M</v>
      </c>
      <c r="P6" s="29" t="str">
        <f t="shared" si="23"/>
        <v>T</v>
      </c>
      <c r="Q6" s="29" t="str">
        <f t="shared" si="23"/>
        <v>W</v>
      </c>
      <c r="R6" s="29" t="str">
        <f t="shared" si="23"/>
        <v>T</v>
      </c>
      <c r="S6" s="29" t="str">
        <f t="shared" si="23"/>
        <v>F</v>
      </c>
      <c r="T6" s="29" t="str">
        <f t="shared" si="23"/>
        <v>S</v>
      </c>
      <c r="U6" s="29" t="str">
        <f t="shared" si="23"/>
        <v>S</v>
      </c>
      <c r="V6" s="29" t="str">
        <f t="shared" si="23"/>
        <v>M</v>
      </c>
      <c r="W6" s="29" t="str">
        <f t="shared" si="23"/>
        <v>T</v>
      </c>
      <c r="X6" s="29" t="str">
        <f t="shared" si="23"/>
        <v>W</v>
      </c>
      <c r="Y6" s="29" t="str">
        <f t="shared" si="23"/>
        <v>T</v>
      </c>
      <c r="Z6" s="29" t="str">
        <f t="shared" si="23"/>
        <v>F</v>
      </c>
      <c r="AA6" s="29" t="str">
        <f t="shared" si="23"/>
        <v>S</v>
      </c>
      <c r="AB6" s="29" t="str">
        <f t="shared" si="23"/>
        <v>S</v>
      </c>
      <c r="AC6" s="29" t="str">
        <f t="shared" si="23"/>
        <v>M</v>
      </c>
      <c r="AD6" s="29" t="str">
        <f t="shared" si="23"/>
        <v>T</v>
      </c>
      <c r="AE6" s="29" t="str">
        <f t="shared" si="23"/>
        <v>W</v>
      </c>
      <c r="AF6" s="29" t="str">
        <f t="shared" si="23"/>
        <v>T</v>
      </c>
      <c r="AG6" s="29" t="str">
        <f t="shared" si="23"/>
        <v>F</v>
      </c>
      <c r="AH6" s="29" t="str">
        <f t="shared" si="23"/>
        <v>S</v>
      </c>
      <c r="AI6" s="29" t="str">
        <f t="shared" si="23"/>
        <v>S</v>
      </c>
      <c r="AJ6" s="29" t="str">
        <f t="shared" si="23"/>
        <v>M</v>
      </c>
      <c r="AK6" s="29" t="str">
        <f t="shared" si="23"/>
        <v>T</v>
      </c>
      <c r="AL6" s="29" t="str">
        <f t="shared" si="23"/>
        <v>W</v>
      </c>
      <c r="AM6" s="29" t="str">
        <f t="shared" si="23"/>
        <v>T</v>
      </c>
      <c r="AN6" s="29" t="str">
        <f t="shared" si="23"/>
        <v>F</v>
      </c>
      <c r="AO6" s="29" t="str">
        <f t="shared" si="23"/>
        <v>S</v>
      </c>
      <c r="AP6" s="29" t="str">
        <f t="shared" si="23"/>
        <v>S</v>
      </c>
      <c r="AQ6" s="29" t="str">
        <f t="shared" si="23"/>
        <v>M</v>
      </c>
      <c r="AR6" s="29" t="str">
        <f t="shared" si="23"/>
        <v>T</v>
      </c>
      <c r="AS6" s="29" t="str">
        <f t="shared" si="23"/>
        <v>W</v>
      </c>
      <c r="AT6" s="29" t="str">
        <f t="shared" si="23"/>
        <v>T</v>
      </c>
      <c r="AU6" s="29" t="str">
        <f t="shared" si="23"/>
        <v>F</v>
      </c>
      <c r="AV6" s="29" t="str">
        <f t="shared" si="23"/>
        <v>S</v>
      </c>
      <c r="AW6" s="29" t="str">
        <f t="shared" si="23"/>
        <v>S</v>
      </c>
      <c r="AX6" s="29" t="str">
        <f t="shared" si="23"/>
        <v>M</v>
      </c>
      <c r="AY6" s="29" t="str">
        <f t="shared" si="23"/>
        <v>T</v>
      </c>
      <c r="AZ6" s="29" t="str">
        <f t="shared" si="23"/>
        <v>W</v>
      </c>
      <c r="BA6" s="29" t="str">
        <f t="shared" si="23"/>
        <v>T</v>
      </c>
      <c r="BB6" s="29" t="str">
        <f t="shared" si="23"/>
        <v>F</v>
      </c>
      <c r="BC6" s="29" t="str">
        <f t="shared" si="23"/>
        <v>S</v>
      </c>
      <c r="BD6" s="29" t="str">
        <f t="shared" si="23"/>
        <v>S</v>
      </c>
      <c r="BE6" s="29" t="str">
        <f t="shared" si="23"/>
        <v>M</v>
      </c>
      <c r="BF6" s="29" t="str">
        <f t="shared" si="23"/>
        <v>T</v>
      </c>
      <c r="BG6" s="29" t="str">
        <f t="shared" si="23"/>
        <v>W</v>
      </c>
      <c r="BH6" s="29" t="str">
        <f t="shared" si="23"/>
        <v>T</v>
      </c>
      <c r="BI6" s="29" t="str">
        <f t="shared" si="23"/>
        <v>F</v>
      </c>
      <c r="BJ6" s="29" t="str">
        <f t="shared" si="23"/>
        <v>S</v>
      </c>
      <c r="BK6" s="30" t="str">
        <f t="shared" si="23"/>
        <v>S</v>
      </c>
      <c r="BL6" s="30" t="str">
        <f t="shared" si="23"/>
        <v>M</v>
      </c>
      <c r="BM6" s="30" t="str">
        <f t="shared" si="23"/>
        <v>T</v>
      </c>
      <c r="BN6" s="30" t="str">
        <f t="shared" si="23"/>
        <v>W</v>
      </c>
      <c r="BO6" s="30" t="str">
        <f t="shared" si="23"/>
        <v>T</v>
      </c>
      <c r="BP6" s="30" t="str">
        <f t="shared" si="23"/>
        <v>F</v>
      </c>
      <c r="BQ6" s="30" t="str">
        <f t="shared" si="23"/>
        <v>S</v>
      </c>
      <c r="BR6" s="30" t="str">
        <f t="shared" si="23"/>
        <v>S</v>
      </c>
      <c r="BS6" s="30" t="str">
        <f t="shared" si="23"/>
        <v>M</v>
      </c>
      <c r="BT6" s="30" t="str">
        <f t="shared" ref="BT6:EE6" si="24">LEFT(TEXT(BT5,"ddd"),1)</f>
        <v>T</v>
      </c>
      <c r="BU6" s="30" t="str">
        <f t="shared" si="24"/>
        <v>W</v>
      </c>
      <c r="BV6" s="30" t="str">
        <f t="shared" si="24"/>
        <v>T</v>
      </c>
      <c r="BW6" s="30" t="str">
        <f t="shared" si="24"/>
        <v>F</v>
      </c>
      <c r="BX6" s="30" t="str">
        <f t="shared" si="24"/>
        <v>S</v>
      </c>
      <c r="BY6" s="30" t="str">
        <f t="shared" si="24"/>
        <v>S</v>
      </c>
      <c r="BZ6" s="30" t="str">
        <f t="shared" si="24"/>
        <v>M</v>
      </c>
      <c r="CA6" s="30" t="str">
        <f t="shared" si="24"/>
        <v>T</v>
      </c>
      <c r="CB6" s="30" t="str">
        <f t="shared" si="24"/>
        <v>W</v>
      </c>
      <c r="CC6" s="30" t="str">
        <f t="shared" si="24"/>
        <v>T</v>
      </c>
      <c r="CD6" s="30" t="str">
        <f t="shared" si="24"/>
        <v>F</v>
      </c>
      <c r="CE6" s="30" t="str">
        <f t="shared" si="24"/>
        <v>S</v>
      </c>
      <c r="CF6" s="30" t="str">
        <f t="shared" si="24"/>
        <v>S</v>
      </c>
      <c r="CG6" s="30" t="str">
        <f t="shared" si="24"/>
        <v>M</v>
      </c>
      <c r="CH6" s="30" t="str">
        <f t="shared" si="24"/>
        <v>T</v>
      </c>
      <c r="CI6" s="30" t="str">
        <f t="shared" si="24"/>
        <v>W</v>
      </c>
      <c r="CJ6" s="30" t="str">
        <f t="shared" si="24"/>
        <v>T</v>
      </c>
      <c r="CK6" s="30" t="str">
        <f t="shared" si="24"/>
        <v>F</v>
      </c>
      <c r="CL6" s="30" t="str">
        <f t="shared" si="24"/>
        <v>S</v>
      </c>
      <c r="CM6" s="30" t="str">
        <f t="shared" si="24"/>
        <v>S</v>
      </c>
      <c r="CN6" s="30" t="str">
        <f t="shared" si="24"/>
        <v>M</v>
      </c>
      <c r="CO6" s="30" t="str">
        <f t="shared" si="24"/>
        <v>T</v>
      </c>
      <c r="CP6" s="30" t="str">
        <f t="shared" si="24"/>
        <v>W</v>
      </c>
      <c r="CQ6" s="30" t="str">
        <f t="shared" si="24"/>
        <v>T</v>
      </c>
      <c r="CR6" s="30" t="str">
        <f t="shared" si="24"/>
        <v>F</v>
      </c>
      <c r="CS6" s="30" t="str">
        <f t="shared" si="24"/>
        <v>S</v>
      </c>
      <c r="CT6" s="30" t="str">
        <f t="shared" si="24"/>
        <v>S</v>
      </c>
      <c r="CU6" s="30" t="str">
        <f t="shared" si="24"/>
        <v>M</v>
      </c>
      <c r="CV6" s="30" t="str">
        <f t="shared" si="24"/>
        <v>T</v>
      </c>
      <c r="CW6" s="30" t="str">
        <f t="shared" si="24"/>
        <v>W</v>
      </c>
      <c r="CX6" s="30" t="str">
        <f t="shared" si="24"/>
        <v>T</v>
      </c>
      <c r="CY6" s="30" t="str">
        <f t="shared" si="24"/>
        <v>F</v>
      </c>
      <c r="CZ6" s="30" t="str">
        <f t="shared" si="24"/>
        <v>S</v>
      </c>
      <c r="DA6" s="30" t="str">
        <f t="shared" si="24"/>
        <v>S</v>
      </c>
      <c r="DB6" s="30" t="str">
        <f t="shared" si="24"/>
        <v>M</v>
      </c>
      <c r="DC6" s="30" t="str">
        <f t="shared" si="24"/>
        <v>T</v>
      </c>
      <c r="DD6" s="30" t="str">
        <f t="shared" si="24"/>
        <v>W</v>
      </c>
      <c r="DE6" s="30" t="str">
        <f t="shared" si="24"/>
        <v>T</v>
      </c>
      <c r="DF6" s="30" t="str">
        <f t="shared" si="24"/>
        <v>F</v>
      </c>
      <c r="DG6" s="30" t="str">
        <f t="shared" si="24"/>
        <v>S</v>
      </c>
      <c r="DH6" s="30" t="str">
        <f t="shared" si="24"/>
        <v>S</v>
      </c>
      <c r="DI6" s="30" t="str">
        <f t="shared" si="24"/>
        <v>M</v>
      </c>
      <c r="DJ6" s="30" t="str">
        <f t="shared" si="24"/>
        <v>T</v>
      </c>
      <c r="DK6" s="30" t="str">
        <f t="shared" si="24"/>
        <v>W</v>
      </c>
      <c r="DL6" s="30" t="str">
        <f t="shared" si="24"/>
        <v>T</v>
      </c>
      <c r="DM6" s="30" t="str">
        <f t="shared" si="24"/>
        <v>F</v>
      </c>
      <c r="DN6" s="30" t="str">
        <f t="shared" si="24"/>
        <v>S</v>
      </c>
      <c r="DO6" s="30" t="str">
        <f t="shared" si="24"/>
        <v>S</v>
      </c>
      <c r="DP6" s="30" t="str">
        <f t="shared" si="24"/>
        <v>M</v>
      </c>
      <c r="DQ6" s="30" t="str">
        <f t="shared" si="24"/>
        <v>T</v>
      </c>
      <c r="DR6" s="30" t="str">
        <f t="shared" si="24"/>
        <v>W</v>
      </c>
      <c r="DS6" s="30" t="str">
        <f t="shared" si="24"/>
        <v>T</v>
      </c>
      <c r="DT6" s="30" t="str">
        <f t="shared" si="24"/>
        <v>F</v>
      </c>
      <c r="DU6" s="30" t="str">
        <f t="shared" si="24"/>
        <v>S</v>
      </c>
      <c r="DV6" s="30" t="str">
        <f t="shared" si="24"/>
        <v>S</v>
      </c>
      <c r="DW6" s="30" t="str">
        <f t="shared" si="24"/>
        <v>M</v>
      </c>
      <c r="DX6" s="30" t="str">
        <f t="shared" si="24"/>
        <v>T</v>
      </c>
      <c r="DY6" s="30" t="str">
        <f t="shared" si="24"/>
        <v>W</v>
      </c>
      <c r="DZ6" s="30" t="str">
        <f t="shared" si="24"/>
        <v>T</v>
      </c>
      <c r="EA6" s="30" t="str">
        <f t="shared" si="24"/>
        <v>F</v>
      </c>
      <c r="EB6" s="30" t="str">
        <f t="shared" si="24"/>
        <v>S</v>
      </c>
      <c r="EC6" s="30" t="str">
        <f t="shared" si="24"/>
        <v>S</v>
      </c>
      <c r="ED6" s="30" t="str">
        <f t="shared" si="24"/>
        <v>M</v>
      </c>
      <c r="EE6" s="30" t="str">
        <f t="shared" si="24"/>
        <v>T</v>
      </c>
      <c r="EF6" s="30" t="str">
        <f t="shared" ref="EF6:GN6" si="25">LEFT(TEXT(EF5,"ddd"),1)</f>
        <v>W</v>
      </c>
      <c r="EG6" s="30" t="str">
        <f t="shared" si="25"/>
        <v>T</v>
      </c>
      <c r="EH6" s="30" t="str">
        <f t="shared" si="25"/>
        <v>F</v>
      </c>
      <c r="EI6" s="30" t="str">
        <f t="shared" si="25"/>
        <v>S</v>
      </c>
      <c r="EJ6" s="30" t="str">
        <f t="shared" si="25"/>
        <v>S</v>
      </c>
      <c r="EK6" s="30" t="str">
        <f t="shared" si="25"/>
        <v>M</v>
      </c>
      <c r="EL6" s="30" t="str">
        <f t="shared" si="25"/>
        <v>T</v>
      </c>
      <c r="EM6" s="30" t="str">
        <f t="shared" si="25"/>
        <v>W</v>
      </c>
      <c r="EN6" s="30" t="str">
        <f t="shared" si="25"/>
        <v>T</v>
      </c>
      <c r="EO6" s="30" t="str">
        <f t="shared" si="25"/>
        <v>F</v>
      </c>
      <c r="EP6" s="30" t="str">
        <f t="shared" si="25"/>
        <v>S</v>
      </c>
      <c r="EQ6" s="30" t="str">
        <f t="shared" si="25"/>
        <v>S</v>
      </c>
      <c r="ER6" s="30" t="str">
        <f t="shared" si="25"/>
        <v>M</v>
      </c>
      <c r="ES6" s="30" t="str">
        <f t="shared" si="25"/>
        <v>T</v>
      </c>
      <c r="ET6" s="30" t="str">
        <f t="shared" si="25"/>
        <v>W</v>
      </c>
      <c r="EU6" s="30" t="str">
        <f t="shared" si="25"/>
        <v>T</v>
      </c>
      <c r="EV6" s="30" t="str">
        <f t="shared" si="25"/>
        <v>F</v>
      </c>
      <c r="EW6" s="30" t="str">
        <f t="shared" si="25"/>
        <v>S</v>
      </c>
      <c r="EX6" s="30" t="str">
        <f t="shared" si="25"/>
        <v>S</v>
      </c>
      <c r="EY6" s="30" t="str">
        <f t="shared" si="25"/>
        <v>M</v>
      </c>
      <c r="EZ6" s="30" t="str">
        <f t="shared" si="25"/>
        <v>T</v>
      </c>
      <c r="FA6" s="30" t="str">
        <f t="shared" si="25"/>
        <v>W</v>
      </c>
      <c r="FB6" s="30" t="str">
        <f t="shared" si="25"/>
        <v>T</v>
      </c>
      <c r="FC6" s="30" t="str">
        <f t="shared" si="25"/>
        <v>F</v>
      </c>
      <c r="FD6" s="30" t="str">
        <f t="shared" si="25"/>
        <v>S</v>
      </c>
      <c r="FE6" s="30" t="str">
        <f t="shared" si="25"/>
        <v>S</v>
      </c>
      <c r="FF6" s="30" t="str">
        <f t="shared" si="25"/>
        <v>M</v>
      </c>
      <c r="FG6" s="30" t="str">
        <f t="shared" si="25"/>
        <v>T</v>
      </c>
      <c r="FH6" s="30" t="str">
        <f t="shared" si="25"/>
        <v>W</v>
      </c>
      <c r="FI6" s="30" t="str">
        <f t="shared" si="25"/>
        <v>T</v>
      </c>
      <c r="FJ6" s="30" t="str">
        <f t="shared" si="25"/>
        <v>F</v>
      </c>
      <c r="FK6" s="30" t="str">
        <f t="shared" si="25"/>
        <v>S</v>
      </c>
      <c r="FL6" s="30" t="str">
        <f t="shared" si="25"/>
        <v>S</v>
      </c>
      <c r="FM6" s="30" t="str">
        <f t="shared" si="25"/>
        <v>M</v>
      </c>
      <c r="FN6" s="30" t="str">
        <f t="shared" si="25"/>
        <v>T</v>
      </c>
      <c r="FO6" s="30" t="str">
        <f t="shared" si="25"/>
        <v>W</v>
      </c>
      <c r="FP6" s="30" t="str">
        <f t="shared" si="25"/>
        <v>T</v>
      </c>
      <c r="FQ6" s="30" t="str">
        <f t="shared" si="25"/>
        <v>F</v>
      </c>
      <c r="FR6" s="30" t="str">
        <f t="shared" si="25"/>
        <v>S</v>
      </c>
      <c r="FS6" s="30" t="str">
        <f t="shared" si="25"/>
        <v>S</v>
      </c>
      <c r="FT6" s="30" t="str">
        <f t="shared" si="25"/>
        <v>M</v>
      </c>
      <c r="FU6" s="30" t="str">
        <f t="shared" si="25"/>
        <v>T</v>
      </c>
      <c r="FV6" s="30" t="str">
        <f t="shared" si="25"/>
        <v>W</v>
      </c>
      <c r="FW6" s="30" t="str">
        <f t="shared" si="25"/>
        <v>T</v>
      </c>
      <c r="FX6" s="30" t="str">
        <f t="shared" si="25"/>
        <v>F</v>
      </c>
      <c r="FY6" s="30" t="str">
        <f t="shared" si="25"/>
        <v>S</v>
      </c>
      <c r="FZ6" s="30" t="str">
        <f t="shared" si="25"/>
        <v>S</v>
      </c>
      <c r="GA6" s="30" t="str">
        <f t="shared" si="25"/>
        <v>M</v>
      </c>
      <c r="GB6" s="30" t="str">
        <f t="shared" si="25"/>
        <v>T</v>
      </c>
      <c r="GC6" s="30" t="str">
        <f t="shared" si="25"/>
        <v>W</v>
      </c>
      <c r="GD6" s="30" t="str">
        <f t="shared" si="25"/>
        <v>T</v>
      </c>
      <c r="GE6" s="30" t="str">
        <f t="shared" si="25"/>
        <v>F</v>
      </c>
      <c r="GF6" s="30" t="str">
        <f t="shared" si="25"/>
        <v>S</v>
      </c>
      <c r="GG6" s="30" t="str">
        <f t="shared" si="25"/>
        <v>S</v>
      </c>
      <c r="GH6" s="30" t="str">
        <f t="shared" si="25"/>
        <v>M</v>
      </c>
      <c r="GI6" s="30" t="str">
        <f t="shared" si="25"/>
        <v>T</v>
      </c>
      <c r="GJ6" s="30" t="str">
        <f t="shared" si="25"/>
        <v>W</v>
      </c>
      <c r="GK6" s="30" t="str">
        <f t="shared" si="25"/>
        <v>T</v>
      </c>
      <c r="GL6" s="30" t="str">
        <f t="shared" si="25"/>
        <v>F</v>
      </c>
      <c r="GM6" s="30" t="str">
        <f t="shared" si="25"/>
        <v>S</v>
      </c>
      <c r="GN6" s="30" t="str">
        <f t="shared" si="25"/>
        <v>S</v>
      </c>
    </row>
    <row r="7" spans="1:244" s="20" customFormat="1" ht="30" hidden="1" customHeight="1" x14ac:dyDescent="0.2">
      <c r="A7" s="10" t="s">
        <v>18</v>
      </c>
      <c r="B7" s="31"/>
      <c r="C7" s="31"/>
      <c r="D7" s="31"/>
      <c r="E7" s="31"/>
      <c r="G7" s="20" t="str">
        <f>IF(OR(ISBLANK(task_start),ISBLANK(task_end)),"",task_end-task_start+1)</f>
        <v/>
      </c>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row>
    <row r="8" spans="1:244" s="38" customFormat="1" ht="30" customHeight="1" thickBot="1" x14ac:dyDescent="0.25">
      <c r="A8" s="11"/>
      <c r="B8" s="33" t="s">
        <v>26</v>
      </c>
      <c r="C8" s="34"/>
      <c r="D8" s="35"/>
      <c r="E8" s="36"/>
      <c r="F8" s="12"/>
      <c r="G8" s="3" t="str">
        <f t="shared" ref="G8:G31" si="26">IF(OR(ISBLANK(task_start),ISBLANK(task_end)),"",task_end-task_start+1)</f>
        <v/>
      </c>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244" s="38" customFormat="1" ht="30" customHeight="1" thickBot="1" x14ac:dyDescent="0.25">
      <c r="A9" s="11"/>
      <c r="B9" s="77" t="s">
        <v>24</v>
      </c>
      <c r="C9" s="39">
        <v>0.5</v>
      </c>
      <c r="D9" s="40">
        <f>DATE(2026,2,9)</f>
        <v>46062</v>
      </c>
      <c r="E9" s="40">
        <f>DATE(2026,2,27)</f>
        <v>46080</v>
      </c>
      <c r="F9" s="12"/>
      <c r="G9" s="3">
        <f t="shared" si="26"/>
        <v>19</v>
      </c>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row>
    <row r="10" spans="1:244" s="38" customFormat="1" ht="30" customHeight="1" thickBot="1" x14ac:dyDescent="0.25">
      <c r="A10" s="11"/>
      <c r="B10" s="42" t="s">
        <v>23</v>
      </c>
      <c r="C10" s="43">
        <v>0.6</v>
      </c>
      <c r="D10" s="44">
        <f>DATE(2026,2,10)</f>
        <v>46063</v>
      </c>
      <c r="E10" s="44">
        <f>DATE(2026,2,18)</f>
        <v>46071</v>
      </c>
      <c r="F10" s="12"/>
      <c r="G10" s="3">
        <f t="shared" si="26"/>
        <v>9</v>
      </c>
      <c r="H10" s="41"/>
      <c r="I10" s="41"/>
      <c r="J10" s="41"/>
      <c r="K10" s="41"/>
      <c r="L10" s="41"/>
      <c r="M10" s="41"/>
      <c r="N10" s="41"/>
      <c r="O10" s="41"/>
      <c r="P10" s="41"/>
      <c r="Q10" s="41"/>
      <c r="R10" s="41"/>
      <c r="S10" s="41"/>
      <c r="T10" s="45"/>
      <c r="U10" s="45"/>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5"/>
      <c r="BT10" s="45"/>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c r="EI10" s="41"/>
      <c r="EJ10" s="41"/>
      <c r="EK10" s="41"/>
      <c r="EL10" s="41"/>
      <c r="EM10" s="41"/>
      <c r="EN10" s="41"/>
      <c r="EO10" s="41"/>
      <c r="EP10" s="41"/>
      <c r="EQ10" s="41"/>
      <c r="ER10" s="41"/>
      <c r="ES10" s="41"/>
      <c r="ET10" s="41"/>
      <c r="EU10" s="41"/>
      <c r="EV10" s="41"/>
      <c r="EW10" s="41"/>
      <c r="EX10" s="41"/>
      <c r="EY10" s="41"/>
      <c r="EZ10" s="41"/>
      <c r="FA10" s="41"/>
      <c r="FB10" s="41"/>
      <c r="FC10" s="41"/>
      <c r="FD10" s="41"/>
      <c r="FE10" s="41"/>
      <c r="FF10" s="41"/>
      <c r="FG10" s="41"/>
      <c r="FH10" s="41"/>
      <c r="FI10" s="41"/>
      <c r="FJ10" s="41"/>
      <c r="FK10" s="41"/>
      <c r="FL10" s="41"/>
      <c r="FM10" s="41"/>
      <c r="FN10" s="41"/>
      <c r="FO10" s="41"/>
      <c r="FP10" s="41"/>
      <c r="FQ10" s="41"/>
      <c r="FR10" s="41"/>
      <c r="FS10" s="41"/>
      <c r="FT10" s="41"/>
      <c r="FU10" s="41"/>
      <c r="FV10" s="41"/>
      <c r="FW10" s="41"/>
      <c r="FX10" s="41"/>
      <c r="FY10" s="41"/>
      <c r="FZ10" s="41"/>
      <c r="GA10" s="41"/>
      <c r="GB10" s="41"/>
      <c r="GC10" s="41"/>
      <c r="GD10" s="41"/>
      <c r="GE10" s="41"/>
      <c r="GF10" s="41"/>
      <c r="GG10" s="41"/>
      <c r="GH10" s="41"/>
      <c r="GI10" s="41"/>
      <c r="GJ10" s="41"/>
      <c r="GK10" s="41"/>
      <c r="GL10" s="41"/>
      <c r="GM10" s="41"/>
      <c r="GN10" s="41"/>
    </row>
    <row r="11" spans="1:244" s="38" customFormat="1" ht="30" customHeight="1" thickBot="1" x14ac:dyDescent="0.3">
      <c r="A11" s="10"/>
      <c r="B11" s="42" t="s">
        <v>25</v>
      </c>
      <c r="C11" s="43">
        <v>0.1</v>
      </c>
      <c r="D11" s="44">
        <f>DATE(2026,2,18)</f>
        <v>46071</v>
      </c>
      <c r="E11" s="44">
        <f>DATE(2026,2,27)</f>
        <v>46080</v>
      </c>
      <c r="F11" s="12"/>
      <c r="G11" s="3">
        <f t="shared" si="26"/>
        <v>10</v>
      </c>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c r="EI11" s="41"/>
      <c r="EJ11" s="41"/>
      <c r="EK11" s="41"/>
      <c r="EL11" s="41"/>
      <c r="EM11" s="41"/>
      <c r="EN11" s="41"/>
      <c r="EO11" s="41"/>
      <c r="EP11" s="41"/>
      <c r="EQ11" s="41"/>
      <c r="ER11" s="41"/>
      <c r="ES11" s="41"/>
      <c r="ET11" s="41"/>
      <c r="EU11" s="41"/>
      <c r="EV11" s="41"/>
      <c r="EW11" s="41"/>
      <c r="EX11" s="41"/>
      <c r="EY11" s="41"/>
      <c r="EZ11" s="41"/>
      <c r="FA11" s="41"/>
      <c r="FB11" s="41"/>
      <c r="FC11" s="41"/>
      <c r="FD11" s="41"/>
      <c r="FE11" s="41"/>
      <c r="FF11" s="41"/>
      <c r="FG11" s="41"/>
      <c r="FH11" s="41"/>
      <c r="FI11" s="41"/>
      <c r="FJ11" s="41"/>
      <c r="FK11" s="41"/>
      <c r="FL11" s="41"/>
      <c r="FM11" s="41"/>
      <c r="FN11" s="41"/>
      <c r="FO11" s="41"/>
      <c r="FP11" s="41"/>
      <c r="FQ11" s="41"/>
      <c r="FR11" s="41"/>
      <c r="FS11" s="41"/>
      <c r="FT11" s="41"/>
      <c r="FU11" s="41"/>
      <c r="FV11" s="41"/>
      <c r="FW11" s="41"/>
      <c r="FX11" s="41"/>
      <c r="FY11" s="41"/>
      <c r="FZ11" s="41"/>
      <c r="GA11" s="41"/>
      <c r="GB11" s="41"/>
      <c r="GC11" s="41"/>
      <c r="GD11" s="41"/>
      <c r="GE11" s="41"/>
      <c r="GF11" s="41"/>
      <c r="GG11" s="41"/>
      <c r="GH11" s="41"/>
      <c r="GI11" s="41"/>
      <c r="GJ11" s="41"/>
      <c r="GK11" s="41"/>
      <c r="GL11" s="41"/>
      <c r="GM11" s="41"/>
      <c r="GN11" s="41"/>
      <c r="HX11" s="101" t="s">
        <v>48</v>
      </c>
      <c r="HY11" s="101"/>
      <c r="HZ11" s="102"/>
      <c r="IA11" s="101"/>
      <c r="IB11" s="101"/>
      <c r="IC11" s="101"/>
      <c r="ID11" s="101"/>
      <c r="IE11" s="101"/>
      <c r="IF11" s="101"/>
      <c r="IG11" s="101"/>
      <c r="IH11" s="101"/>
      <c r="II11" s="101"/>
      <c r="IJ11" s="103"/>
    </row>
    <row r="12" spans="1:244" s="38" customFormat="1" ht="30" customHeight="1" thickBot="1" x14ac:dyDescent="0.25">
      <c r="A12" s="11"/>
      <c r="B12" s="46" t="s">
        <v>27</v>
      </c>
      <c r="C12" s="47"/>
      <c r="D12" s="48"/>
      <c r="E12" s="49"/>
      <c r="F12" s="12"/>
      <c r="G12" s="3" t="str">
        <f t="shared" si="26"/>
        <v/>
      </c>
      <c r="BP12" s="41"/>
    </row>
    <row r="13" spans="1:244" s="38" customFormat="1" ht="30" customHeight="1" thickBot="1" x14ac:dyDescent="0.25">
      <c r="A13" s="11"/>
      <c r="B13" s="78" t="s">
        <v>45</v>
      </c>
      <c r="C13" s="50">
        <v>0</v>
      </c>
      <c r="D13" s="51">
        <f>DATE(2026,3,2)</f>
        <v>46083</v>
      </c>
      <c r="E13" s="51">
        <f>DATE(2026,3,6)</f>
        <v>46087</v>
      </c>
      <c r="F13" s="12"/>
      <c r="G13" s="3">
        <f t="shared" si="26"/>
        <v>5</v>
      </c>
      <c r="H13" s="41"/>
      <c r="I13" s="79"/>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row>
    <row r="14" spans="1:244" s="38" customFormat="1" ht="30" customHeight="1" thickBot="1" x14ac:dyDescent="0.25">
      <c r="A14" s="10"/>
      <c r="B14" s="78" t="s">
        <v>44</v>
      </c>
      <c r="C14" s="50">
        <v>0</v>
      </c>
      <c r="D14" s="51">
        <f>DATE(2026,3,7)</f>
        <v>46088</v>
      </c>
      <c r="E14" s="51">
        <f>DATE(2026,3,13)</f>
        <v>46094</v>
      </c>
      <c r="F14" s="12"/>
      <c r="G14" s="3">
        <f t="shared" si="26"/>
        <v>7</v>
      </c>
      <c r="H14" s="41"/>
      <c r="I14" s="41"/>
      <c r="J14" s="41"/>
      <c r="K14" s="41"/>
      <c r="L14" s="41"/>
      <c r="M14" s="41"/>
      <c r="N14" s="41"/>
      <c r="O14" s="41"/>
      <c r="P14" s="41"/>
      <c r="Q14" s="41"/>
      <c r="R14" s="41"/>
      <c r="S14" s="41"/>
      <c r="T14" s="45"/>
      <c r="U14" s="45"/>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5"/>
      <c r="BT14" s="45"/>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c r="EH14" s="41"/>
      <c r="EI14" s="41"/>
      <c r="EJ14" s="41"/>
      <c r="EK14" s="41"/>
      <c r="EL14" s="41"/>
      <c r="EM14" s="41"/>
      <c r="EN14" s="41"/>
      <c r="EO14" s="41"/>
      <c r="EP14" s="41"/>
      <c r="EQ14" s="41"/>
      <c r="ER14" s="41"/>
      <c r="ES14" s="41"/>
      <c r="ET14" s="41"/>
      <c r="EU14" s="41"/>
      <c r="EV14" s="41"/>
      <c r="EW14" s="41"/>
      <c r="EX14" s="41"/>
      <c r="EY14" s="41"/>
      <c r="EZ14" s="41"/>
      <c r="FA14" s="41"/>
      <c r="FB14" s="41"/>
      <c r="FC14" s="41"/>
      <c r="FD14" s="41"/>
      <c r="FE14" s="41"/>
      <c r="FF14" s="41"/>
      <c r="FG14" s="41"/>
      <c r="FH14" s="41"/>
      <c r="FI14" s="41"/>
      <c r="FJ14" s="41"/>
      <c r="FK14" s="41"/>
      <c r="FL14" s="41"/>
      <c r="FM14" s="41"/>
      <c r="FN14" s="41"/>
      <c r="FO14" s="41"/>
      <c r="FP14" s="41"/>
      <c r="FQ14" s="41"/>
      <c r="FR14" s="41"/>
      <c r="FS14" s="41"/>
      <c r="FT14" s="41"/>
      <c r="FU14" s="41"/>
      <c r="FV14" s="41"/>
      <c r="FW14" s="41"/>
      <c r="FX14" s="41"/>
      <c r="FY14" s="41"/>
      <c r="FZ14" s="41"/>
      <c r="GA14" s="41"/>
      <c r="GB14" s="41"/>
      <c r="GC14" s="41"/>
      <c r="GD14" s="41"/>
      <c r="GE14" s="41"/>
      <c r="GF14" s="41"/>
      <c r="GG14" s="41"/>
      <c r="GH14" s="41"/>
      <c r="GI14" s="41"/>
      <c r="GJ14" s="41"/>
      <c r="GK14" s="41"/>
      <c r="GL14" s="41"/>
      <c r="GM14" s="41"/>
      <c r="GN14" s="41"/>
    </row>
    <row r="15" spans="1:244" s="38" customFormat="1" ht="30" customHeight="1" thickBot="1" x14ac:dyDescent="0.25">
      <c r="A15" s="10"/>
      <c r="B15" s="99" t="s">
        <v>47</v>
      </c>
      <c r="C15" s="50">
        <v>0</v>
      </c>
      <c r="D15" s="51">
        <f>DATE(2026,3,14)</f>
        <v>46095</v>
      </c>
      <c r="E15" s="51">
        <f>DATE(2026,3,31)</f>
        <v>46112</v>
      </c>
      <c r="F15" s="12"/>
      <c r="G15" s="3">
        <f t="shared" si="26"/>
        <v>18</v>
      </c>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c r="EH15" s="41"/>
      <c r="EI15" s="41"/>
      <c r="EJ15" s="41"/>
      <c r="EK15" s="41"/>
      <c r="EL15" s="41"/>
      <c r="EM15" s="41"/>
      <c r="EN15" s="41"/>
      <c r="EO15" s="41"/>
      <c r="EP15" s="41"/>
      <c r="EQ15" s="41"/>
      <c r="ER15" s="41"/>
      <c r="ES15" s="41"/>
      <c r="ET15" s="41"/>
      <c r="EU15" s="41"/>
      <c r="EV15" s="41"/>
      <c r="EW15" s="41"/>
      <c r="EX15" s="41"/>
      <c r="EY15" s="41"/>
      <c r="EZ15" s="41"/>
      <c r="FA15" s="41"/>
      <c r="FB15" s="41"/>
      <c r="FC15" s="41"/>
      <c r="FD15" s="41"/>
      <c r="FE15" s="41"/>
      <c r="FF15" s="41"/>
      <c r="FG15" s="41"/>
      <c r="FH15" s="41"/>
      <c r="FI15" s="41"/>
      <c r="FJ15" s="41"/>
      <c r="FK15" s="41"/>
      <c r="FL15" s="41"/>
      <c r="FM15" s="41"/>
      <c r="FN15" s="41"/>
      <c r="FO15" s="41"/>
      <c r="FP15" s="41"/>
      <c r="FQ15" s="41"/>
      <c r="FR15" s="41"/>
      <c r="FS15" s="41"/>
      <c r="FT15" s="41"/>
      <c r="FU15" s="41"/>
      <c r="FV15" s="41"/>
      <c r="FW15" s="41"/>
      <c r="FX15" s="41"/>
      <c r="FY15" s="41"/>
      <c r="FZ15" s="41"/>
      <c r="GA15" s="41"/>
      <c r="GB15" s="41"/>
      <c r="GC15" s="41"/>
      <c r="GD15" s="41"/>
      <c r="GE15" s="41"/>
      <c r="GF15" s="41"/>
      <c r="GG15" s="41"/>
      <c r="GH15" s="41"/>
      <c r="GI15" s="41"/>
      <c r="GJ15" s="41"/>
      <c r="GK15" s="41"/>
      <c r="GL15" s="41"/>
      <c r="GM15" s="41"/>
      <c r="GN15" s="41"/>
    </row>
    <row r="16" spans="1:244" s="38" customFormat="1" ht="30" customHeight="1" thickBot="1" x14ac:dyDescent="0.25">
      <c r="A16" s="10"/>
      <c r="B16" s="52" t="s">
        <v>28</v>
      </c>
      <c r="C16" s="53"/>
      <c r="D16" s="54"/>
      <c r="E16" s="55"/>
      <c r="F16" s="12"/>
      <c r="G16" s="3" t="str">
        <f t="shared" si="26"/>
        <v/>
      </c>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row>
    <row r="17" spans="1:196" s="38" customFormat="1" ht="30" customHeight="1" thickBot="1" x14ac:dyDescent="0.25">
      <c r="A17" s="10"/>
      <c r="B17" s="94" t="s">
        <v>32</v>
      </c>
      <c r="C17" s="58">
        <v>0</v>
      </c>
      <c r="D17" s="59">
        <f>DATE(2026,4,1)</f>
        <v>46113</v>
      </c>
      <c r="E17" s="59">
        <f>DATE(2026,4,8)</f>
        <v>46120</v>
      </c>
      <c r="F17" s="12"/>
      <c r="G17" s="3">
        <f t="shared" si="26"/>
        <v>8</v>
      </c>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row>
    <row r="18" spans="1:196" s="38" customFormat="1" ht="30" customHeight="1" thickBot="1" x14ac:dyDescent="0.25">
      <c r="A18" s="10"/>
      <c r="B18" s="94" t="s">
        <v>33</v>
      </c>
      <c r="C18" s="58">
        <v>0</v>
      </c>
      <c r="D18" s="59">
        <f>DATE(2026,4,9)</f>
        <v>46121</v>
      </c>
      <c r="E18" s="59">
        <f>DATE(2026,4,22)</f>
        <v>46134</v>
      </c>
      <c r="F18" s="12"/>
      <c r="G18" s="3">
        <f t="shared" si="26"/>
        <v>14</v>
      </c>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1"/>
      <c r="DM18" s="41"/>
      <c r="DN18" s="41"/>
      <c r="DO18" s="41"/>
      <c r="DP18" s="41"/>
      <c r="DQ18" s="41"/>
      <c r="DR18" s="41"/>
      <c r="DS18" s="41"/>
      <c r="DT18" s="41"/>
      <c r="DU18" s="41"/>
      <c r="DV18" s="41"/>
      <c r="DW18" s="41"/>
      <c r="DX18" s="41"/>
      <c r="DY18" s="41"/>
      <c r="DZ18" s="41"/>
      <c r="EA18" s="41"/>
      <c r="EB18" s="41"/>
      <c r="EC18" s="41"/>
      <c r="ED18" s="41"/>
      <c r="EE18" s="41"/>
      <c r="EF18" s="41"/>
      <c r="EG18" s="41"/>
      <c r="EH18" s="41"/>
      <c r="EI18" s="41"/>
      <c r="EJ18" s="41"/>
      <c r="EK18" s="41"/>
      <c r="EL18" s="41"/>
      <c r="EM18" s="41"/>
      <c r="EN18" s="41"/>
      <c r="EO18" s="41"/>
      <c r="EP18" s="41"/>
      <c r="EQ18" s="41"/>
      <c r="ER18" s="41"/>
      <c r="ES18" s="41"/>
      <c r="ET18" s="41"/>
      <c r="EU18" s="41"/>
      <c r="EV18" s="41"/>
      <c r="EW18" s="41"/>
      <c r="EX18" s="41"/>
      <c r="EY18" s="41"/>
      <c r="EZ18" s="41"/>
      <c r="FA18" s="41"/>
      <c r="FB18" s="41"/>
      <c r="FC18" s="41"/>
      <c r="FD18" s="41"/>
      <c r="FE18" s="41"/>
      <c r="FF18" s="41"/>
      <c r="FG18" s="41"/>
      <c r="FH18" s="41"/>
      <c r="FI18" s="41"/>
      <c r="FJ18" s="41"/>
      <c r="FK18" s="41"/>
      <c r="FL18" s="41"/>
      <c r="FM18" s="41"/>
      <c r="FN18" s="41"/>
      <c r="FO18" s="41"/>
      <c r="FP18" s="41"/>
      <c r="FQ18" s="41"/>
      <c r="FR18" s="41"/>
      <c r="FS18" s="41"/>
      <c r="FT18" s="41"/>
      <c r="FU18" s="41"/>
      <c r="FV18" s="41"/>
      <c r="FW18" s="41"/>
      <c r="FX18" s="41"/>
      <c r="FY18" s="41"/>
      <c r="FZ18" s="41"/>
      <c r="GA18" s="41"/>
      <c r="GB18" s="41"/>
      <c r="GC18" s="41"/>
      <c r="GD18" s="41"/>
      <c r="GE18" s="41"/>
      <c r="GF18" s="41"/>
      <c r="GG18" s="41"/>
      <c r="GH18" s="41"/>
      <c r="GI18" s="41"/>
      <c r="GJ18" s="41"/>
      <c r="GK18" s="41"/>
      <c r="GL18" s="41"/>
      <c r="GM18" s="41"/>
      <c r="GN18" s="41"/>
    </row>
    <row r="19" spans="1:196" s="38" customFormat="1" ht="30" customHeight="1" thickBot="1" x14ac:dyDescent="0.25">
      <c r="A19" s="10"/>
      <c r="B19" s="57" t="s">
        <v>34</v>
      </c>
      <c r="C19" s="58">
        <v>0</v>
      </c>
      <c r="D19" s="59">
        <f>DATE(2026,4,23)</f>
        <v>46135</v>
      </c>
      <c r="E19" s="59">
        <f>DATE(2026,4,30)</f>
        <v>46142</v>
      </c>
      <c r="F19" s="12"/>
      <c r="G19" s="3">
        <f t="shared" si="26"/>
        <v>8</v>
      </c>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c r="CJ19" s="41"/>
      <c r="CK19" s="41"/>
      <c r="CL19" s="41"/>
      <c r="CM19" s="41"/>
      <c r="CN19" s="41"/>
      <c r="CO19" s="41"/>
      <c r="CP19" s="41"/>
      <c r="CQ19" s="41"/>
      <c r="CR19" s="41"/>
      <c r="CS19" s="41"/>
      <c r="CT19" s="41"/>
      <c r="CU19" s="41"/>
      <c r="CV19" s="41"/>
      <c r="CW19" s="41"/>
      <c r="CX19" s="41"/>
      <c r="CY19" s="41"/>
      <c r="CZ19" s="41"/>
      <c r="DA19" s="41"/>
      <c r="DB19" s="41"/>
      <c r="DC19" s="41"/>
      <c r="DD19" s="41"/>
      <c r="DE19" s="41"/>
      <c r="DF19" s="41"/>
      <c r="DG19" s="41"/>
      <c r="DH19" s="41"/>
      <c r="DI19" s="41"/>
      <c r="DJ19" s="41"/>
      <c r="DK19" s="41"/>
      <c r="DL19" s="41"/>
      <c r="DM19" s="41"/>
      <c r="DN19" s="41"/>
      <c r="DO19" s="41"/>
      <c r="DP19" s="41"/>
      <c r="DQ19" s="41"/>
      <c r="DR19" s="41"/>
      <c r="DS19" s="41"/>
      <c r="DT19" s="41"/>
      <c r="DU19" s="41"/>
      <c r="DV19" s="41"/>
      <c r="DW19" s="41"/>
      <c r="DX19" s="41"/>
      <c r="DY19" s="41"/>
      <c r="DZ19" s="41"/>
      <c r="EA19" s="41"/>
      <c r="EB19" s="41"/>
      <c r="EC19" s="41"/>
      <c r="ED19" s="41"/>
      <c r="EE19" s="41"/>
      <c r="EF19" s="41"/>
      <c r="EG19" s="41"/>
      <c r="EH19" s="41"/>
      <c r="EI19" s="41"/>
      <c r="EJ19" s="41"/>
      <c r="EK19" s="41"/>
      <c r="EL19" s="41"/>
      <c r="EM19" s="41"/>
      <c r="EN19" s="41"/>
      <c r="EO19" s="41"/>
      <c r="EP19" s="41"/>
      <c r="EQ19" s="41"/>
      <c r="ER19" s="41"/>
      <c r="ES19" s="41"/>
      <c r="ET19" s="41"/>
      <c r="EU19" s="41"/>
      <c r="EV19" s="41"/>
      <c r="EW19" s="41"/>
      <c r="EX19" s="41"/>
      <c r="EY19" s="41"/>
      <c r="EZ19" s="41"/>
      <c r="FA19" s="41"/>
      <c r="FB19" s="41"/>
      <c r="FC19" s="41"/>
      <c r="FD19" s="41"/>
      <c r="FE19" s="41"/>
      <c r="FF19" s="41"/>
      <c r="FG19" s="41"/>
      <c r="FH19" s="41"/>
      <c r="FI19" s="41"/>
      <c r="FJ19" s="41"/>
      <c r="FK19" s="41"/>
      <c r="FL19" s="41"/>
      <c r="FM19" s="41"/>
      <c r="FN19" s="41"/>
      <c r="FO19" s="41"/>
      <c r="FP19" s="41"/>
      <c r="FQ19" s="41"/>
      <c r="FR19" s="41"/>
      <c r="FS19" s="41"/>
      <c r="FT19" s="41"/>
      <c r="FU19" s="41"/>
      <c r="FV19" s="41"/>
      <c r="FW19" s="41"/>
      <c r="FX19" s="41"/>
      <c r="FY19" s="41"/>
      <c r="FZ19" s="41"/>
      <c r="GA19" s="41"/>
      <c r="GB19" s="41"/>
      <c r="GC19" s="41"/>
      <c r="GD19" s="41"/>
      <c r="GE19" s="41"/>
      <c r="GF19" s="41"/>
      <c r="GG19" s="41"/>
      <c r="GH19" s="41"/>
      <c r="GI19" s="41"/>
      <c r="GJ19" s="41"/>
      <c r="GK19" s="41"/>
      <c r="GL19" s="41"/>
      <c r="GM19" s="41"/>
      <c r="GN19" s="41"/>
    </row>
    <row r="20" spans="1:196" s="38" customFormat="1" ht="30" customHeight="1" thickBot="1" x14ac:dyDescent="0.25">
      <c r="A20" s="10"/>
      <c r="B20" s="60" t="s">
        <v>29</v>
      </c>
      <c r="C20" s="61"/>
      <c r="D20" s="62"/>
      <c r="E20" s="63"/>
      <c r="F20" s="12"/>
      <c r="G20" s="3" t="str">
        <f t="shared" si="26"/>
        <v/>
      </c>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c r="CT20" s="64"/>
      <c r="CU20" s="64"/>
      <c r="CV20" s="64"/>
      <c r="CW20" s="64"/>
      <c r="CX20" s="64"/>
      <c r="CY20" s="64"/>
      <c r="CZ20" s="64"/>
      <c r="DA20" s="64"/>
      <c r="DB20" s="64"/>
      <c r="DC20" s="64"/>
      <c r="DD20" s="64"/>
      <c r="DE20" s="64"/>
      <c r="DF20" s="64"/>
      <c r="DG20" s="64"/>
      <c r="DH20" s="64"/>
      <c r="DI20" s="64"/>
      <c r="DJ20" s="64"/>
      <c r="DK20" s="64"/>
      <c r="DL20" s="64"/>
      <c r="DM20" s="64"/>
      <c r="DN20" s="64"/>
      <c r="DO20" s="64"/>
      <c r="DP20" s="64"/>
      <c r="DQ20" s="64"/>
      <c r="DR20" s="64"/>
      <c r="DS20" s="64"/>
      <c r="DT20" s="64"/>
      <c r="DU20" s="64"/>
      <c r="DV20" s="64"/>
      <c r="DW20" s="64"/>
      <c r="DX20" s="64"/>
      <c r="DY20" s="64"/>
      <c r="DZ20" s="64"/>
      <c r="EA20" s="64"/>
      <c r="EB20" s="64"/>
      <c r="EC20" s="64"/>
      <c r="ED20" s="64"/>
      <c r="EE20" s="64"/>
      <c r="EF20" s="64"/>
      <c r="EG20" s="64"/>
      <c r="EH20" s="64"/>
      <c r="EI20" s="64"/>
      <c r="EJ20" s="64"/>
      <c r="EK20" s="64"/>
      <c r="EL20" s="64"/>
      <c r="EM20" s="64"/>
      <c r="EN20" s="64"/>
      <c r="EO20" s="64"/>
      <c r="EP20" s="64"/>
      <c r="EQ20" s="64"/>
      <c r="ER20" s="64"/>
      <c r="ES20" s="64"/>
      <c r="ET20" s="64"/>
      <c r="EU20" s="64"/>
      <c r="EV20" s="64"/>
      <c r="EW20" s="64"/>
      <c r="EX20" s="64"/>
      <c r="EY20" s="64"/>
      <c r="EZ20" s="64"/>
      <c r="FA20" s="64"/>
      <c r="FB20" s="64"/>
      <c r="FC20" s="64"/>
      <c r="FD20" s="64"/>
      <c r="FE20" s="64"/>
      <c r="FF20" s="64"/>
      <c r="FG20" s="64"/>
      <c r="FH20" s="64"/>
      <c r="FI20" s="64"/>
      <c r="FJ20" s="64"/>
      <c r="FK20" s="64"/>
      <c r="FL20" s="64"/>
      <c r="FM20" s="64"/>
      <c r="FN20" s="64"/>
      <c r="FO20" s="64"/>
      <c r="FP20" s="64"/>
      <c r="FQ20" s="64"/>
      <c r="FR20" s="64"/>
      <c r="FS20" s="64"/>
      <c r="FT20" s="64"/>
      <c r="FU20" s="64"/>
      <c r="FV20" s="64"/>
      <c r="FW20" s="64"/>
      <c r="FX20" s="64"/>
      <c r="FY20" s="64"/>
      <c r="FZ20" s="64"/>
      <c r="GA20" s="64"/>
      <c r="GB20" s="64"/>
      <c r="GC20" s="64"/>
      <c r="GD20" s="64"/>
      <c r="GE20" s="64"/>
      <c r="GF20" s="64"/>
      <c r="GG20" s="64"/>
      <c r="GH20" s="64"/>
      <c r="GI20" s="64"/>
      <c r="GJ20" s="64"/>
      <c r="GK20" s="64"/>
      <c r="GL20" s="64"/>
      <c r="GM20" s="64"/>
      <c r="GN20" s="64"/>
    </row>
    <row r="21" spans="1:196" s="38" customFormat="1" ht="30" customHeight="1" thickBot="1" x14ac:dyDescent="0.25">
      <c r="A21" s="10"/>
      <c r="B21" s="95" t="s">
        <v>35</v>
      </c>
      <c r="C21" s="66">
        <v>0</v>
      </c>
      <c r="D21" s="67">
        <f>DATE(2026,5,1)</f>
        <v>46143</v>
      </c>
      <c r="E21" s="67">
        <f>DATE(2026,5,15)</f>
        <v>46157</v>
      </c>
      <c r="F21" s="12"/>
      <c r="G21" s="3">
        <f t="shared" si="26"/>
        <v>15</v>
      </c>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c r="EC21" s="41"/>
      <c r="ED21" s="41"/>
      <c r="EE21" s="41"/>
      <c r="EF21" s="41"/>
      <c r="EG21" s="41"/>
      <c r="EH21" s="41"/>
      <c r="EI21" s="41"/>
      <c r="EJ21" s="41"/>
      <c r="EK21" s="41"/>
      <c r="EL21" s="41"/>
      <c r="EM21" s="41"/>
      <c r="EN21" s="41"/>
      <c r="EO21" s="41"/>
      <c r="EP21" s="41"/>
      <c r="EQ21" s="41"/>
      <c r="ER21" s="41"/>
      <c r="ES21" s="41"/>
      <c r="ET21" s="41"/>
      <c r="EU21" s="41"/>
      <c r="EV21" s="41"/>
      <c r="EW21" s="41"/>
      <c r="EX21" s="41"/>
      <c r="EY21" s="41"/>
      <c r="EZ21" s="41"/>
      <c r="FA21" s="41"/>
      <c r="FB21" s="41"/>
      <c r="FC21" s="41"/>
      <c r="FD21" s="41"/>
      <c r="FE21" s="41"/>
      <c r="FF21" s="41"/>
      <c r="FG21" s="41"/>
      <c r="FH21" s="41"/>
      <c r="FI21" s="41"/>
      <c r="FJ21" s="41"/>
      <c r="FK21" s="41"/>
      <c r="FL21" s="41"/>
      <c r="FM21" s="41"/>
      <c r="FN21" s="41"/>
      <c r="FO21" s="41"/>
      <c r="FP21" s="41"/>
      <c r="FQ21" s="41"/>
      <c r="FR21" s="41"/>
      <c r="FS21" s="41"/>
      <c r="FT21" s="41"/>
      <c r="FU21" s="41"/>
      <c r="FV21" s="41"/>
      <c r="FW21" s="41"/>
      <c r="FX21" s="41"/>
      <c r="FY21" s="41"/>
      <c r="FZ21" s="41"/>
      <c r="GA21" s="41"/>
      <c r="GB21" s="41"/>
      <c r="GC21" s="41"/>
      <c r="GD21" s="41"/>
      <c r="GE21" s="41"/>
      <c r="GF21" s="41"/>
      <c r="GG21" s="41"/>
      <c r="GH21" s="41"/>
      <c r="GI21" s="41"/>
      <c r="GJ21" s="41"/>
      <c r="GK21" s="41"/>
      <c r="GL21" s="41"/>
      <c r="GM21" s="41"/>
      <c r="GN21" s="41"/>
    </row>
    <row r="22" spans="1:196" s="38" customFormat="1" ht="30" customHeight="1" thickBot="1" x14ac:dyDescent="0.25">
      <c r="A22" s="10"/>
      <c r="B22" s="65" t="s">
        <v>36</v>
      </c>
      <c r="C22" s="66">
        <v>0</v>
      </c>
      <c r="D22" s="67">
        <f>E21</f>
        <v>46157</v>
      </c>
      <c r="E22" s="67">
        <f>DATE(2026,5,22)</f>
        <v>46164</v>
      </c>
      <c r="F22" s="12"/>
      <c r="G22" s="3">
        <f t="shared" si="26"/>
        <v>8</v>
      </c>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c r="DY22" s="41"/>
      <c r="DZ22" s="41"/>
      <c r="EA22" s="41"/>
      <c r="EB22" s="41"/>
      <c r="EC22" s="41"/>
      <c r="ED22" s="41"/>
      <c r="EE22" s="41"/>
      <c r="EF22" s="41"/>
      <c r="EG22" s="41"/>
      <c r="EH22" s="41"/>
      <c r="EI22" s="41"/>
      <c r="EJ22" s="41"/>
      <c r="EK22" s="41"/>
      <c r="EL22" s="41"/>
      <c r="EM22" s="41"/>
      <c r="EN22" s="41"/>
      <c r="EO22" s="41"/>
      <c r="EP22" s="41"/>
      <c r="EQ22" s="41"/>
      <c r="ER22" s="41"/>
      <c r="ES22" s="41"/>
      <c r="ET22" s="41"/>
      <c r="EU22" s="41"/>
      <c r="EV22" s="41"/>
      <c r="EW22" s="41"/>
      <c r="EX22" s="41"/>
      <c r="EY22" s="41"/>
      <c r="EZ22" s="41"/>
      <c r="FA22" s="41"/>
      <c r="FB22" s="41"/>
      <c r="FC22" s="41"/>
      <c r="FD22" s="41"/>
      <c r="FE22" s="41"/>
      <c r="FF22" s="41"/>
      <c r="FG22" s="41"/>
      <c r="FH22" s="41"/>
      <c r="FI22" s="41"/>
      <c r="FJ22" s="41"/>
      <c r="FK22" s="41"/>
      <c r="FL22" s="41"/>
      <c r="FM22" s="41"/>
      <c r="FN22" s="41"/>
      <c r="FO22" s="41"/>
      <c r="FP22" s="41"/>
      <c r="FQ22" s="41"/>
      <c r="FR22" s="41"/>
      <c r="FS22" s="41"/>
      <c r="FT22" s="41"/>
      <c r="FU22" s="41"/>
      <c r="FV22" s="41"/>
      <c r="FW22" s="41"/>
      <c r="FX22" s="41"/>
      <c r="FY22" s="41"/>
      <c r="FZ22" s="41"/>
      <c r="GA22" s="41"/>
      <c r="GB22" s="41"/>
      <c r="GC22" s="41"/>
      <c r="GD22" s="41"/>
      <c r="GE22" s="41"/>
      <c r="GF22" s="41"/>
      <c r="GG22" s="41"/>
      <c r="GH22" s="41"/>
      <c r="GI22" s="41"/>
      <c r="GJ22" s="41"/>
      <c r="GK22" s="41"/>
      <c r="GL22" s="41"/>
      <c r="GM22" s="41"/>
      <c r="GN22" s="41"/>
    </row>
    <row r="23" spans="1:196" s="38" customFormat="1" ht="30" customHeight="1" thickBot="1" x14ac:dyDescent="0.25">
      <c r="A23" s="10"/>
      <c r="B23" s="95" t="s">
        <v>37</v>
      </c>
      <c r="C23" s="66">
        <v>0</v>
      </c>
      <c r="D23" s="67">
        <f>E22+1</f>
        <v>46165</v>
      </c>
      <c r="E23" s="67">
        <f>DATE(2026,5,29)</f>
        <v>46171</v>
      </c>
      <c r="F23" s="12"/>
      <c r="G23" s="3">
        <f t="shared" si="26"/>
        <v>7</v>
      </c>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41"/>
      <c r="CE23" s="41"/>
      <c r="CF23" s="41"/>
      <c r="CG23" s="41"/>
      <c r="CH23" s="41"/>
      <c r="CI23" s="41"/>
      <c r="CJ23" s="41"/>
      <c r="CK23" s="41"/>
      <c r="CL23" s="41"/>
      <c r="CM23" s="41"/>
      <c r="CN23" s="41"/>
      <c r="CO23" s="41"/>
      <c r="CP23" s="41"/>
      <c r="CQ23" s="41"/>
      <c r="CR23" s="41"/>
      <c r="CS23" s="41"/>
      <c r="CT23" s="41"/>
      <c r="CU23" s="41"/>
      <c r="CV23" s="41"/>
      <c r="CW23" s="41"/>
      <c r="CX23" s="41"/>
      <c r="CY23" s="41"/>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41"/>
      <c r="EC23" s="41"/>
      <c r="ED23" s="41"/>
      <c r="EE23" s="41"/>
      <c r="EF23" s="41"/>
      <c r="EG23" s="41"/>
      <c r="EH23" s="41"/>
      <c r="EI23" s="41"/>
      <c r="EJ23" s="41"/>
      <c r="EK23" s="41"/>
      <c r="EL23" s="41"/>
      <c r="EM23" s="41"/>
      <c r="EN23" s="41"/>
      <c r="EO23" s="41"/>
      <c r="EP23" s="41"/>
      <c r="EQ23" s="41"/>
      <c r="ER23" s="41"/>
      <c r="ES23" s="41"/>
      <c r="ET23" s="41"/>
      <c r="EU23" s="41"/>
      <c r="EV23" s="41"/>
      <c r="EW23" s="41"/>
      <c r="EX23" s="41"/>
      <c r="EY23" s="41"/>
      <c r="EZ23" s="41"/>
      <c r="FA23" s="41"/>
      <c r="FB23" s="41"/>
      <c r="FC23" s="41"/>
      <c r="FD23" s="41"/>
      <c r="FE23" s="41"/>
      <c r="FF23" s="41"/>
      <c r="FG23" s="41"/>
      <c r="FH23" s="41"/>
      <c r="FI23" s="41"/>
      <c r="FJ23" s="41"/>
      <c r="FK23" s="41"/>
      <c r="FL23" s="41"/>
      <c r="FM23" s="41"/>
      <c r="FN23" s="41"/>
      <c r="FO23" s="41"/>
      <c r="FP23" s="41"/>
      <c r="FQ23" s="41"/>
      <c r="FR23" s="41"/>
      <c r="FS23" s="41"/>
      <c r="FT23" s="41"/>
      <c r="FU23" s="41"/>
      <c r="FV23" s="41"/>
      <c r="FW23" s="41"/>
      <c r="FX23" s="41"/>
      <c r="FY23" s="41"/>
      <c r="FZ23" s="41"/>
      <c r="GA23" s="41"/>
      <c r="GB23" s="41"/>
      <c r="GC23" s="41"/>
      <c r="GD23" s="41"/>
      <c r="GE23" s="41"/>
      <c r="GF23" s="41"/>
      <c r="GG23" s="41"/>
      <c r="GH23" s="41"/>
      <c r="GI23" s="41"/>
      <c r="GJ23" s="41"/>
      <c r="GK23" s="41"/>
      <c r="GL23" s="41"/>
      <c r="GM23" s="41"/>
      <c r="GN23" s="41"/>
    </row>
    <row r="24" spans="1:196" s="38" customFormat="1" ht="30" customHeight="1" thickBot="1" x14ac:dyDescent="0.25">
      <c r="A24" s="10"/>
      <c r="B24" s="80" t="s">
        <v>30</v>
      </c>
      <c r="C24" s="81"/>
      <c r="D24" s="82"/>
      <c r="E24" s="83"/>
      <c r="F24" s="12"/>
      <c r="G24" s="3" t="str">
        <f t="shared" si="26"/>
        <v/>
      </c>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c r="CT24" s="64"/>
      <c r="CU24" s="64"/>
      <c r="CV24" s="64"/>
      <c r="CW24" s="64"/>
      <c r="CX24" s="64"/>
      <c r="CY24" s="64"/>
      <c r="CZ24" s="64"/>
      <c r="DA24" s="64"/>
      <c r="DB24" s="64"/>
      <c r="DC24" s="64"/>
      <c r="DD24" s="64"/>
      <c r="DE24" s="64"/>
      <c r="DF24" s="64"/>
      <c r="DG24" s="64"/>
      <c r="DH24" s="64"/>
      <c r="DI24" s="64"/>
      <c r="DJ24" s="64"/>
      <c r="DK24" s="64"/>
      <c r="DL24" s="64"/>
      <c r="DM24" s="64"/>
      <c r="DN24" s="64"/>
      <c r="DO24" s="64"/>
      <c r="DP24" s="64"/>
      <c r="DQ24" s="64"/>
      <c r="DR24" s="64"/>
      <c r="DS24" s="64"/>
      <c r="DT24" s="64"/>
      <c r="DU24" s="64"/>
      <c r="DV24" s="64"/>
      <c r="DW24" s="64"/>
      <c r="DX24" s="64"/>
      <c r="DY24" s="64"/>
      <c r="DZ24" s="64"/>
      <c r="EA24" s="64"/>
      <c r="EB24" s="64"/>
      <c r="EC24" s="64"/>
      <c r="ED24" s="64"/>
      <c r="EE24" s="64"/>
      <c r="EF24" s="64"/>
      <c r="EG24" s="64"/>
      <c r="EH24" s="64"/>
      <c r="EI24" s="64"/>
      <c r="EJ24" s="64"/>
      <c r="EK24" s="64"/>
      <c r="EL24" s="64"/>
      <c r="EM24" s="64"/>
      <c r="EN24" s="64"/>
      <c r="EO24" s="64"/>
      <c r="EP24" s="64"/>
      <c r="EQ24" s="64"/>
      <c r="ER24" s="64"/>
      <c r="ES24" s="64"/>
      <c r="ET24" s="64"/>
      <c r="EU24" s="64"/>
      <c r="EV24" s="64"/>
      <c r="EW24" s="64"/>
      <c r="EX24" s="64"/>
      <c r="EY24" s="64"/>
      <c r="EZ24" s="64"/>
      <c r="FA24" s="64"/>
      <c r="FB24" s="64"/>
      <c r="FC24" s="64"/>
      <c r="FD24" s="64"/>
      <c r="FE24" s="64"/>
      <c r="FF24" s="64"/>
      <c r="FG24" s="64"/>
      <c r="FH24" s="64"/>
      <c r="FI24" s="64"/>
      <c r="FJ24" s="64"/>
      <c r="FK24" s="64"/>
      <c r="FL24" s="64"/>
      <c r="FM24" s="64"/>
      <c r="FN24" s="64"/>
      <c r="FO24" s="64"/>
      <c r="FP24" s="64"/>
      <c r="FQ24" s="64"/>
      <c r="FR24" s="64"/>
      <c r="FS24" s="64"/>
      <c r="FT24" s="64"/>
      <c r="FU24" s="64"/>
      <c r="FV24" s="64"/>
      <c r="FW24" s="64"/>
      <c r="FX24" s="64"/>
      <c r="FY24" s="64"/>
      <c r="FZ24" s="64"/>
      <c r="GA24" s="64"/>
      <c r="GB24" s="64"/>
      <c r="GC24" s="64"/>
      <c r="GD24" s="64"/>
      <c r="GE24" s="64"/>
      <c r="GF24" s="64"/>
      <c r="GG24" s="64"/>
      <c r="GH24" s="64"/>
      <c r="GI24" s="64"/>
      <c r="GJ24" s="64"/>
      <c r="GK24" s="64"/>
      <c r="GL24" s="64"/>
      <c r="GM24" s="64"/>
      <c r="GN24" s="64"/>
    </row>
    <row r="25" spans="1:196" s="38" customFormat="1" ht="30" customHeight="1" thickBot="1" x14ac:dyDescent="0.25">
      <c r="A25" s="10"/>
      <c r="B25" s="84" t="s">
        <v>38</v>
      </c>
      <c r="C25" s="85">
        <v>0</v>
      </c>
      <c r="D25" s="86">
        <f>DATE(2026,6,1)</f>
        <v>46174</v>
      </c>
      <c r="E25" s="86">
        <f>DATE(2026,6,5)</f>
        <v>46178</v>
      </c>
      <c r="F25" s="12"/>
      <c r="G25" s="3">
        <f t="shared" si="26"/>
        <v>5</v>
      </c>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98"/>
      <c r="CM25" s="98"/>
      <c r="CN25" s="98"/>
      <c r="CO25" s="98"/>
      <c r="CP25" s="41"/>
      <c r="CQ25" s="41"/>
      <c r="CR25" s="41"/>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c r="DY25" s="41"/>
      <c r="DZ25" s="41"/>
      <c r="EA25" s="41"/>
      <c r="EB25" s="41"/>
      <c r="EC25" s="41"/>
      <c r="ED25" s="41"/>
      <c r="EE25" s="41"/>
      <c r="EF25" s="41"/>
      <c r="EG25" s="41"/>
      <c r="EH25" s="41"/>
      <c r="EI25" s="41"/>
      <c r="EJ25" s="41"/>
      <c r="EK25" s="41"/>
      <c r="EL25" s="41"/>
      <c r="EM25" s="41"/>
      <c r="EN25" s="41"/>
      <c r="EO25" s="41"/>
      <c r="EP25" s="41"/>
      <c r="EQ25" s="41"/>
      <c r="ER25" s="41"/>
      <c r="ES25" s="41"/>
      <c r="ET25" s="41"/>
      <c r="EU25" s="41"/>
      <c r="EV25" s="41"/>
      <c r="EW25" s="41"/>
      <c r="EX25" s="41"/>
      <c r="EY25" s="41"/>
      <c r="EZ25" s="41"/>
      <c r="FA25" s="41"/>
      <c r="FB25" s="41"/>
      <c r="FC25" s="41"/>
      <c r="FD25" s="41"/>
      <c r="FE25" s="41"/>
      <c r="FF25" s="41"/>
      <c r="FG25" s="41"/>
      <c r="FH25" s="41"/>
      <c r="FI25" s="41"/>
      <c r="FJ25" s="41"/>
      <c r="FK25" s="41"/>
      <c r="FL25" s="41"/>
      <c r="FM25" s="41"/>
      <c r="FN25" s="41"/>
      <c r="FO25" s="41"/>
      <c r="FP25" s="41"/>
      <c r="FQ25" s="41"/>
      <c r="FR25" s="41"/>
      <c r="FS25" s="41"/>
      <c r="FT25" s="41"/>
      <c r="FU25" s="41"/>
      <c r="FV25" s="41"/>
      <c r="FW25" s="41"/>
      <c r="FX25" s="41"/>
      <c r="FY25" s="41"/>
      <c r="FZ25" s="41"/>
      <c r="GA25" s="41"/>
      <c r="GB25" s="41"/>
      <c r="GC25" s="41"/>
      <c r="GD25" s="41"/>
      <c r="GE25" s="41"/>
      <c r="GF25" s="41"/>
      <c r="GG25" s="41"/>
      <c r="GH25" s="41"/>
      <c r="GI25" s="41"/>
      <c r="GJ25" s="41"/>
      <c r="GK25" s="41"/>
      <c r="GL25" s="41"/>
      <c r="GM25" s="41"/>
      <c r="GN25" s="41"/>
    </row>
    <row r="26" spans="1:196" s="38" customFormat="1" ht="30" customHeight="1" thickBot="1" x14ac:dyDescent="0.25">
      <c r="A26" s="10"/>
      <c r="B26" s="96" t="s">
        <v>39</v>
      </c>
      <c r="C26" s="85">
        <v>0</v>
      </c>
      <c r="D26" s="86">
        <f>DATE(2026,6,8)</f>
        <v>46181</v>
      </c>
      <c r="E26" s="86">
        <f>DATE(2026,6,12)</f>
        <v>46185</v>
      </c>
      <c r="F26" s="12"/>
      <c r="G26" s="3">
        <f t="shared" si="26"/>
        <v>5</v>
      </c>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c r="CV26" s="41"/>
      <c r="CW26" s="41"/>
      <c r="CX26" s="41"/>
      <c r="CY26" s="41"/>
      <c r="CZ26" s="41"/>
      <c r="DA26" s="41"/>
      <c r="DB26" s="41"/>
      <c r="DC26" s="41"/>
      <c r="DD26" s="41"/>
      <c r="DE26" s="41"/>
      <c r="DF26" s="41"/>
      <c r="DG26" s="41"/>
      <c r="DH26" s="41"/>
      <c r="DI26" s="41"/>
      <c r="DJ26" s="41"/>
      <c r="DK26" s="41"/>
      <c r="DL26" s="41"/>
      <c r="DM26" s="41"/>
      <c r="DN26" s="41"/>
      <c r="DO26" s="41"/>
      <c r="DP26" s="41"/>
      <c r="DQ26" s="41"/>
      <c r="DR26" s="41"/>
      <c r="DS26" s="41"/>
      <c r="DT26" s="41"/>
      <c r="DU26" s="41"/>
      <c r="DV26" s="41"/>
      <c r="DW26" s="41"/>
      <c r="DX26" s="41"/>
      <c r="DY26" s="41"/>
      <c r="DZ26" s="41"/>
      <c r="EA26" s="41"/>
      <c r="EB26" s="41"/>
      <c r="EC26" s="41"/>
      <c r="ED26" s="41"/>
      <c r="EE26" s="41"/>
      <c r="EF26" s="41"/>
      <c r="EG26" s="41"/>
      <c r="EH26" s="41"/>
      <c r="EI26" s="41"/>
      <c r="EJ26" s="41"/>
      <c r="EK26" s="41"/>
      <c r="EL26" s="41"/>
      <c r="EM26" s="41"/>
      <c r="EN26" s="41"/>
      <c r="EO26" s="41"/>
      <c r="EP26" s="41"/>
      <c r="EQ26" s="41"/>
      <c r="ER26" s="41"/>
      <c r="ES26" s="41"/>
      <c r="ET26" s="41"/>
      <c r="EU26" s="41"/>
      <c r="EV26" s="41"/>
      <c r="EW26" s="41"/>
      <c r="EX26" s="41"/>
      <c r="EY26" s="41"/>
      <c r="EZ26" s="41"/>
      <c r="FA26" s="41"/>
      <c r="FB26" s="41"/>
      <c r="FC26" s="41"/>
      <c r="FD26" s="41"/>
      <c r="FE26" s="41"/>
      <c r="FF26" s="41"/>
      <c r="FG26" s="41"/>
      <c r="FH26" s="41"/>
      <c r="FI26" s="41"/>
      <c r="FJ26" s="41"/>
      <c r="FK26" s="41"/>
      <c r="FL26" s="41"/>
      <c r="FM26" s="41"/>
      <c r="FN26" s="41"/>
      <c r="FO26" s="41"/>
      <c r="FP26" s="41"/>
      <c r="FQ26" s="41"/>
      <c r="FR26" s="41"/>
      <c r="FS26" s="41"/>
      <c r="FT26" s="41"/>
      <c r="FU26" s="41"/>
      <c r="FV26" s="41"/>
      <c r="FW26" s="41"/>
      <c r="FX26" s="41"/>
      <c r="FY26" s="41"/>
      <c r="FZ26" s="41"/>
      <c r="GA26" s="41"/>
      <c r="GB26" s="41"/>
      <c r="GC26" s="41"/>
      <c r="GD26" s="41"/>
      <c r="GE26" s="41"/>
      <c r="GF26" s="41"/>
      <c r="GG26" s="41"/>
      <c r="GH26" s="41"/>
      <c r="GI26" s="41"/>
      <c r="GJ26" s="41"/>
      <c r="GK26" s="41"/>
      <c r="GL26" s="41"/>
      <c r="GM26" s="41"/>
      <c r="GN26" s="41"/>
    </row>
    <row r="27" spans="1:196" s="38" customFormat="1" ht="30" customHeight="1" thickBot="1" x14ac:dyDescent="0.25">
      <c r="A27" s="10"/>
      <c r="B27" s="84" t="s">
        <v>43</v>
      </c>
      <c r="C27" s="85">
        <v>0</v>
      </c>
      <c r="D27" s="86">
        <f>DATE(2026,6,15)</f>
        <v>46188</v>
      </c>
      <c r="E27" s="86">
        <f>DATE(2026,6,19)</f>
        <v>46192</v>
      </c>
      <c r="F27" s="12"/>
      <c r="G27" s="3">
        <f t="shared" si="26"/>
        <v>5</v>
      </c>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c r="DY27" s="41"/>
      <c r="DZ27" s="41"/>
      <c r="EA27" s="41"/>
      <c r="EB27" s="41"/>
      <c r="EC27" s="41"/>
      <c r="ED27" s="41"/>
      <c r="EE27" s="41"/>
      <c r="EF27" s="41"/>
      <c r="EG27" s="41"/>
      <c r="EH27" s="41"/>
      <c r="EI27" s="41"/>
      <c r="EJ27" s="41"/>
      <c r="EK27" s="41"/>
      <c r="EL27" s="41"/>
      <c r="EM27" s="41"/>
      <c r="EN27" s="41"/>
      <c r="EO27" s="41"/>
      <c r="EP27" s="41"/>
      <c r="EQ27" s="41"/>
      <c r="ER27" s="41"/>
      <c r="ES27" s="41"/>
      <c r="ET27" s="41"/>
      <c r="EU27" s="41"/>
      <c r="EV27" s="41"/>
      <c r="EW27" s="41"/>
      <c r="EX27" s="41"/>
      <c r="EY27" s="41"/>
      <c r="EZ27" s="41"/>
      <c r="FA27" s="41"/>
      <c r="FB27" s="41"/>
      <c r="FC27" s="41"/>
      <c r="FD27" s="41"/>
      <c r="FE27" s="41"/>
      <c r="FF27" s="41"/>
      <c r="FG27" s="41"/>
      <c r="FH27" s="41"/>
      <c r="FI27" s="41"/>
      <c r="FJ27" s="41"/>
      <c r="FK27" s="41"/>
      <c r="FL27" s="41"/>
      <c r="FM27" s="41"/>
      <c r="FN27" s="41"/>
      <c r="FO27" s="41"/>
      <c r="FP27" s="41"/>
      <c r="FQ27" s="41"/>
      <c r="FR27" s="41"/>
      <c r="FS27" s="41"/>
      <c r="FT27" s="41"/>
      <c r="FU27" s="41"/>
      <c r="FV27" s="41"/>
      <c r="FW27" s="41"/>
      <c r="FX27" s="41"/>
      <c r="FY27" s="41"/>
      <c r="FZ27" s="41"/>
      <c r="GA27" s="41"/>
      <c r="GB27" s="41"/>
      <c r="GC27" s="41"/>
      <c r="GD27" s="41"/>
      <c r="GE27" s="41"/>
      <c r="GF27" s="41"/>
      <c r="GG27" s="41"/>
      <c r="GH27" s="41"/>
      <c r="GI27" s="41"/>
      <c r="GJ27" s="41"/>
      <c r="GK27" s="41"/>
      <c r="GL27" s="41"/>
      <c r="GM27" s="41"/>
      <c r="GN27" s="41"/>
    </row>
    <row r="28" spans="1:196" s="38" customFormat="1" ht="30" customHeight="1" thickBot="1" x14ac:dyDescent="0.25">
      <c r="A28" s="10"/>
      <c r="B28" s="87" t="s">
        <v>31</v>
      </c>
      <c r="C28" s="88"/>
      <c r="D28" s="89"/>
      <c r="E28" s="90"/>
      <c r="F28" s="12"/>
      <c r="G28" s="3" t="str">
        <f t="shared" si="26"/>
        <v/>
      </c>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64"/>
      <c r="CT28" s="64"/>
      <c r="CU28" s="64"/>
      <c r="CV28" s="64"/>
      <c r="CW28" s="64"/>
      <c r="CX28" s="64"/>
      <c r="CY28" s="64"/>
      <c r="CZ28" s="64"/>
      <c r="DA28" s="64"/>
      <c r="DB28" s="64"/>
      <c r="DC28" s="64"/>
      <c r="DD28" s="64"/>
      <c r="DE28" s="64"/>
      <c r="DF28" s="64"/>
      <c r="DG28" s="64"/>
      <c r="DH28" s="64"/>
      <c r="DI28" s="64"/>
      <c r="DJ28" s="64"/>
      <c r="DK28" s="64"/>
      <c r="DL28" s="64"/>
      <c r="DM28" s="64"/>
      <c r="DN28" s="64"/>
      <c r="DO28" s="64"/>
      <c r="DP28" s="64"/>
      <c r="DQ28" s="64"/>
      <c r="DR28" s="64"/>
      <c r="DS28" s="64"/>
      <c r="DT28" s="64"/>
      <c r="DU28" s="64"/>
      <c r="DV28" s="64"/>
      <c r="DW28" s="64"/>
      <c r="DX28" s="64"/>
      <c r="DY28" s="64"/>
      <c r="DZ28" s="64"/>
      <c r="EA28" s="64"/>
      <c r="EB28" s="64"/>
      <c r="EC28" s="64"/>
      <c r="ED28" s="64"/>
      <c r="EE28" s="64"/>
      <c r="EF28" s="64"/>
      <c r="EG28" s="64"/>
      <c r="EH28" s="64"/>
      <c r="EI28" s="64"/>
      <c r="EJ28" s="64"/>
      <c r="EK28" s="64"/>
      <c r="EL28" s="64"/>
      <c r="EM28" s="64"/>
      <c r="EN28" s="64"/>
      <c r="EO28" s="64"/>
      <c r="EP28" s="64"/>
      <c r="EQ28" s="64"/>
      <c r="ER28" s="64"/>
      <c r="ES28" s="64"/>
      <c r="ET28" s="64"/>
      <c r="EU28" s="64"/>
      <c r="EV28" s="64"/>
      <c r="EW28" s="64"/>
      <c r="EX28" s="64"/>
      <c r="EY28" s="64"/>
      <c r="EZ28" s="64"/>
      <c r="FA28" s="64"/>
      <c r="FB28" s="64"/>
      <c r="FC28" s="64"/>
      <c r="FD28" s="64"/>
      <c r="FE28" s="64"/>
      <c r="FF28" s="64"/>
      <c r="FG28" s="64"/>
      <c r="FH28" s="64"/>
      <c r="FI28" s="64"/>
      <c r="FJ28" s="64"/>
      <c r="FK28" s="64"/>
      <c r="FL28" s="64"/>
      <c r="FM28" s="64"/>
      <c r="FN28" s="64"/>
      <c r="FO28" s="64"/>
      <c r="FP28" s="64"/>
      <c r="FQ28" s="64"/>
      <c r="FR28" s="64"/>
      <c r="FS28" s="64"/>
      <c r="FT28" s="64"/>
      <c r="FU28" s="64"/>
      <c r="FV28" s="64"/>
      <c r="FW28" s="64"/>
      <c r="FX28" s="64"/>
      <c r="FY28" s="64"/>
      <c r="FZ28" s="64"/>
      <c r="GA28" s="64"/>
      <c r="GB28" s="64"/>
      <c r="GC28" s="64"/>
      <c r="GD28" s="64"/>
      <c r="GE28" s="64"/>
      <c r="GF28" s="64"/>
      <c r="GG28" s="64"/>
      <c r="GH28" s="64"/>
      <c r="GI28" s="64"/>
      <c r="GJ28" s="64"/>
      <c r="GK28" s="64"/>
      <c r="GL28" s="64"/>
      <c r="GM28" s="64"/>
      <c r="GN28" s="64"/>
    </row>
    <row r="29" spans="1:196" s="38" customFormat="1" ht="30" customHeight="1" thickBot="1" x14ac:dyDescent="0.25">
      <c r="A29" s="10"/>
      <c r="B29" s="91" t="s">
        <v>40</v>
      </c>
      <c r="C29" s="92">
        <v>0</v>
      </c>
      <c r="D29" s="93">
        <f>DATE(2026,7,1)</f>
        <v>46204</v>
      </c>
      <c r="E29" s="93">
        <f>DATE(2026,7,10)</f>
        <v>46213</v>
      </c>
      <c r="F29" s="12"/>
      <c r="G29" s="3">
        <f t="shared" si="26"/>
        <v>10</v>
      </c>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41"/>
      <c r="DX29" s="41"/>
      <c r="DY29" s="41"/>
      <c r="DZ29" s="41"/>
      <c r="EA29" s="41"/>
      <c r="EB29" s="41"/>
      <c r="EC29" s="41"/>
      <c r="ED29" s="41"/>
      <c r="EE29" s="41"/>
      <c r="EF29" s="41"/>
      <c r="EG29" s="41"/>
      <c r="EH29" s="41"/>
      <c r="EI29" s="41"/>
      <c r="EJ29" s="41"/>
      <c r="EK29" s="41"/>
      <c r="EL29" s="41"/>
      <c r="EM29" s="41"/>
      <c r="EN29" s="41"/>
      <c r="EO29" s="41"/>
      <c r="EP29" s="41"/>
      <c r="EQ29" s="41"/>
      <c r="ER29" s="41"/>
      <c r="ES29" s="41"/>
      <c r="ET29" s="41"/>
      <c r="EU29" s="41"/>
      <c r="EV29" s="41"/>
      <c r="EW29" s="41"/>
      <c r="EX29" s="41"/>
      <c r="EY29" s="41"/>
      <c r="EZ29" s="41"/>
      <c r="FA29" s="41"/>
      <c r="FB29" s="41"/>
      <c r="FC29" s="41"/>
      <c r="FD29" s="41"/>
      <c r="FE29" s="41"/>
      <c r="FF29" s="41"/>
      <c r="FG29" s="41"/>
      <c r="FH29" s="41"/>
      <c r="FI29" s="41"/>
      <c r="FJ29" s="41"/>
      <c r="FK29" s="41"/>
      <c r="FL29" s="41"/>
      <c r="FM29" s="41"/>
      <c r="FN29" s="41"/>
      <c r="FO29" s="41"/>
      <c r="FP29" s="41"/>
      <c r="FQ29" s="41"/>
      <c r="FR29" s="41"/>
      <c r="FS29" s="41"/>
      <c r="FT29" s="41"/>
      <c r="FU29" s="41"/>
      <c r="FV29" s="41"/>
      <c r="FW29" s="41"/>
      <c r="FX29" s="41"/>
      <c r="FY29" s="41"/>
      <c r="FZ29" s="41"/>
      <c r="GA29" s="41"/>
      <c r="GB29" s="41"/>
      <c r="GC29" s="41"/>
      <c r="GD29" s="41"/>
      <c r="GE29" s="41"/>
      <c r="GF29" s="41"/>
      <c r="GG29" s="41"/>
      <c r="GH29" s="41"/>
      <c r="GI29" s="41"/>
      <c r="GJ29" s="41"/>
      <c r="GK29" s="41"/>
      <c r="GL29" s="41"/>
      <c r="GM29" s="41"/>
      <c r="GN29" s="41"/>
    </row>
    <row r="30" spans="1:196" s="38" customFormat="1" ht="30" customHeight="1" thickBot="1" x14ac:dyDescent="0.25">
      <c r="A30" s="10"/>
      <c r="B30" s="97" t="s">
        <v>41</v>
      </c>
      <c r="C30" s="92">
        <v>0</v>
      </c>
      <c r="D30" s="93">
        <f>DATE(2026,7,13)</f>
        <v>46216</v>
      </c>
      <c r="E30" s="93">
        <f>DATE(2026,7,31)</f>
        <v>46234</v>
      </c>
      <c r="F30" s="12"/>
      <c r="G30" s="3">
        <f t="shared" si="26"/>
        <v>19</v>
      </c>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41"/>
      <c r="DX30" s="41"/>
      <c r="DY30" s="41"/>
      <c r="DZ30" s="41"/>
      <c r="EA30" s="41"/>
      <c r="EB30" s="41"/>
      <c r="EC30" s="41"/>
      <c r="ED30" s="41"/>
      <c r="EE30" s="41"/>
      <c r="EF30" s="41"/>
      <c r="EG30" s="41"/>
      <c r="EH30" s="41"/>
      <c r="EI30" s="41"/>
      <c r="EJ30" s="41"/>
      <c r="EK30" s="41"/>
      <c r="EL30" s="41"/>
      <c r="EM30" s="41"/>
      <c r="EN30" s="41"/>
      <c r="EO30" s="41"/>
      <c r="EP30" s="41"/>
      <c r="EQ30" s="41"/>
      <c r="ER30" s="41"/>
      <c r="ES30" s="41"/>
      <c r="ET30" s="41"/>
      <c r="EU30" s="41"/>
      <c r="EV30" s="41"/>
      <c r="EW30" s="41"/>
      <c r="EX30" s="41"/>
      <c r="EY30" s="41"/>
      <c r="EZ30" s="41"/>
      <c r="FA30" s="41"/>
      <c r="FB30" s="41"/>
      <c r="FC30" s="41"/>
      <c r="FD30" s="41"/>
      <c r="FE30" s="41"/>
      <c r="FF30" s="41"/>
      <c r="FG30" s="41"/>
      <c r="FH30" s="41"/>
      <c r="FI30" s="41"/>
      <c r="FJ30" s="41"/>
      <c r="FK30" s="41"/>
      <c r="FL30" s="41"/>
      <c r="FM30" s="41"/>
      <c r="FN30" s="41"/>
      <c r="FO30" s="41"/>
      <c r="FP30" s="41"/>
      <c r="FQ30" s="41"/>
      <c r="FR30" s="41"/>
      <c r="FS30" s="41"/>
      <c r="FT30" s="41"/>
      <c r="FU30" s="41"/>
      <c r="FV30" s="41"/>
      <c r="FW30" s="41"/>
      <c r="FX30" s="41"/>
      <c r="FY30" s="41"/>
      <c r="FZ30" s="41"/>
      <c r="GA30" s="41"/>
      <c r="GB30" s="41"/>
      <c r="GC30" s="41"/>
      <c r="GD30" s="41"/>
      <c r="GE30" s="41"/>
      <c r="GF30" s="41"/>
      <c r="GG30" s="41"/>
      <c r="GH30" s="41"/>
      <c r="GI30" s="41"/>
      <c r="GJ30" s="41"/>
      <c r="GK30" s="41"/>
      <c r="GL30" s="41"/>
      <c r="GM30" s="41"/>
      <c r="GN30" s="41"/>
    </row>
    <row r="31" spans="1:196" s="38" customFormat="1" ht="30" customHeight="1" thickBot="1" x14ac:dyDescent="0.25">
      <c r="A31" s="10"/>
      <c r="B31" s="97" t="s">
        <v>42</v>
      </c>
      <c r="C31" s="92">
        <v>0</v>
      </c>
      <c r="D31" s="93">
        <f>DATE(2026,7,22)</f>
        <v>46225</v>
      </c>
      <c r="E31" s="93">
        <f>DATE(2026,8,9)</f>
        <v>46243</v>
      </c>
      <c r="F31" s="12"/>
      <c r="G31" s="3">
        <f t="shared" si="26"/>
        <v>19</v>
      </c>
      <c r="H31" s="41"/>
      <c r="I31" s="41"/>
      <c r="J31" s="41"/>
      <c r="K31" s="41"/>
      <c r="L31" s="41"/>
      <c r="M31" s="41"/>
      <c r="N31" s="41"/>
      <c r="O31" s="41"/>
      <c r="P31" s="41"/>
      <c r="Q31" s="41"/>
      <c r="R31" s="41"/>
      <c r="S31" s="41"/>
      <c r="T3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41"/>
      <c r="EC31" s="41"/>
      <c r="ED31" s="41"/>
      <c r="EE31" s="41"/>
      <c r="EF31" s="41"/>
      <c r="EG31" s="41"/>
      <c r="EH31" s="41"/>
      <c r="EI31" s="41"/>
      <c r="EJ31" s="41"/>
      <c r="EK31" s="41"/>
      <c r="EL31" s="41"/>
      <c r="EM31" s="41"/>
      <c r="EN31" s="41"/>
      <c r="EO31" s="41"/>
      <c r="EP31" s="41"/>
      <c r="EQ31" s="41"/>
      <c r="ER31" s="41"/>
      <c r="ES31" s="41"/>
      <c r="ET31" s="41"/>
      <c r="EU31" s="41"/>
      <c r="EV31" s="41"/>
      <c r="EW31" s="41"/>
      <c r="EX31" s="41"/>
      <c r="EY31" s="41"/>
      <c r="EZ31" s="41"/>
      <c r="FA31" s="41"/>
      <c r="FB31" s="41"/>
      <c r="FC31" s="41"/>
      <c r="FD31" s="41"/>
      <c r="FE31" s="41"/>
      <c r="FF31" s="41"/>
      <c r="FG31" s="41"/>
      <c r="FH31" s="41"/>
      <c r="FI31" s="41"/>
      <c r="FJ31" s="41"/>
      <c r="FK31" s="41"/>
      <c r="FL31" s="41"/>
      <c r="FM31" s="41"/>
      <c r="FN31" s="41"/>
      <c r="FO31" s="41"/>
      <c r="FP31" s="41"/>
      <c r="FQ31" s="41"/>
      <c r="FR31" s="41"/>
      <c r="FS31" s="41"/>
      <c r="FT31" s="41"/>
      <c r="FU31" s="41"/>
      <c r="FV31" s="41"/>
      <c r="FW31" s="41"/>
      <c r="FX31" s="41"/>
      <c r="FY31" s="41"/>
      <c r="FZ31" s="41"/>
      <c r="GA31" s="41"/>
      <c r="GB31" s="41"/>
      <c r="GC31" s="41"/>
      <c r="GD31" s="41"/>
      <c r="GE31" s="41"/>
      <c r="GF31" s="41"/>
      <c r="GG31" s="41"/>
      <c r="GH31" s="41"/>
      <c r="GI31" s="41"/>
      <c r="GJ31" s="41"/>
      <c r="GK31" s="41"/>
      <c r="GL31" s="41"/>
      <c r="GM31" s="41"/>
      <c r="GN31" s="41"/>
    </row>
    <row r="50" spans="152:152" ht="30" customHeight="1" x14ac:dyDescent="0.2">
      <c r="EV50" t="s">
        <v>46</v>
      </c>
    </row>
  </sheetData>
  <mergeCells count="38">
    <mergeCell ref="AQ4:AW4"/>
    <mergeCell ref="H1:N1"/>
    <mergeCell ref="P1:Y1"/>
    <mergeCell ref="AC1:AI1"/>
    <mergeCell ref="AJ1:AS1"/>
    <mergeCell ref="H2:N2"/>
    <mergeCell ref="P2:Y2"/>
    <mergeCell ref="H4:N4"/>
    <mergeCell ref="O4:U4"/>
    <mergeCell ref="V4:AB4"/>
    <mergeCell ref="AC4:AI4"/>
    <mergeCell ref="AJ4:AP4"/>
    <mergeCell ref="DB4:DH4"/>
    <mergeCell ref="DI4:DO4"/>
    <mergeCell ref="DP4:DV4"/>
    <mergeCell ref="DW4:EC4"/>
    <mergeCell ref="AX4:BD4"/>
    <mergeCell ref="BE4:BK4"/>
    <mergeCell ref="BL4:BR4"/>
    <mergeCell ref="BS4:BY4"/>
    <mergeCell ref="BZ4:CF4"/>
    <mergeCell ref="CG4:CM4"/>
    <mergeCell ref="FT4:FZ4"/>
    <mergeCell ref="GA4:GG4"/>
    <mergeCell ref="GH4:GN4"/>
    <mergeCell ref="A5:A6"/>
    <mergeCell ref="B5:B6"/>
    <mergeCell ref="C5:C6"/>
    <mergeCell ref="D5:D6"/>
    <mergeCell ref="E5:E6"/>
    <mergeCell ref="ED4:EJ4"/>
    <mergeCell ref="EK4:EQ4"/>
    <mergeCell ref="ER4:EX4"/>
    <mergeCell ref="EY4:FE4"/>
    <mergeCell ref="FF4:FL4"/>
    <mergeCell ref="FM4:FS4"/>
    <mergeCell ref="CN4:CT4"/>
    <mergeCell ref="CU4:DA4"/>
  </mergeCells>
  <conditionalFormatting sqref="C7:C31">
    <cfRule type="dataBar" priority="13">
      <dataBar>
        <cfvo type="num" val="0"/>
        <cfvo type="num" val="1"/>
        <color theme="0"/>
      </dataBar>
      <extLst>
        <ext xmlns:x14="http://schemas.microsoft.com/office/spreadsheetml/2009/9/main" uri="{B025F937-C7B1-47D3-B67F-A62EFF666E3E}">
          <x14:id>{92E816A9-4A09-4E66-BB43-1A2517B8772E}</x14:id>
        </ext>
      </extLst>
    </cfRule>
  </conditionalFormatting>
  <conditionalFormatting sqref="H9:BL9 BN9:GN9 H10:GN11">
    <cfRule type="expression" dxfId="62" priority="11">
      <formula>AND(task_start&lt;=H$5,ROUNDDOWN((task_end-task_start+1)*task_progress,0)+task_start-1&gt;=H$5)</formula>
    </cfRule>
    <cfRule type="expression" dxfId="61" priority="12" stopIfTrue="1">
      <formula>AND(task_end&gt;=H$5,task_start&lt;I$5)</formula>
    </cfRule>
  </conditionalFormatting>
  <conditionalFormatting sqref="H13:GN15">
    <cfRule type="expression" dxfId="60" priority="9">
      <formula>AND(task_start&lt;=H$5,ROUNDDOWN((task_end-task_start+1)*task_progress,0)+task_start-1&gt;=H$5)</formula>
    </cfRule>
    <cfRule type="expression" dxfId="59" priority="10" stopIfTrue="1">
      <formula>AND(task_end&gt;=H$5,task_start&lt;I$5)</formula>
    </cfRule>
  </conditionalFormatting>
  <conditionalFormatting sqref="H17:GN19">
    <cfRule type="expression" dxfId="58" priority="7">
      <formula>AND(task_start&lt;=H$5,ROUNDDOWN((task_end-task_start+1)*task_progress,0)+task_start-1&gt;=H$5)</formula>
    </cfRule>
    <cfRule type="expression" dxfId="57" priority="8" stopIfTrue="1">
      <formula>AND(task_end&gt;=H$5,task_start&lt;I$5)</formula>
    </cfRule>
  </conditionalFormatting>
  <conditionalFormatting sqref="H21:GN23">
    <cfRule type="expression" dxfId="56" priority="14">
      <formula>AND(task_start&lt;=H$5,ROUNDDOWN((task_end-task_start+1)*task_progress,0)+task_start-1&gt;=H$5)</formula>
    </cfRule>
    <cfRule type="expression" dxfId="55" priority="15" stopIfTrue="1">
      <formula>AND(task_end&gt;=H$5,task_start&lt;I$5)</formula>
    </cfRule>
  </conditionalFormatting>
  <conditionalFormatting sqref="H28:GN30 H31:S31 U31:GN31">
    <cfRule type="expression" dxfId="54" priority="1">
      <formula>AND(TODAY()&gt;=H$5, TODAY()&lt;I$5)</formula>
    </cfRule>
  </conditionalFormatting>
  <conditionalFormatting sqref="H29:GN30 H31:S31 U31:GN31">
    <cfRule type="expression" dxfId="53" priority="2">
      <formula>AND(task_start&lt;=H$5,ROUNDDOWN((task_end-task_start+1)*task_progress,0)+task_start-1&gt;=H$5)</formula>
    </cfRule>
    <cfRule type="expression" dxfId="52" priority="3" stopIfTrue="1">
      <formula>AND(task_end&gt;=H$5,task_start&lt;I$5)</formula>
    </cfRule>
  </conditionalFormatting>
  <conditionalFormatting sqref="BP12">
    <cfRule type="expression" dxfId="51" priority="20">
      <formula>AND(task_start&lt;=BM$5,ROUNDDOWN((task_end-task_start+1)*task_progress,0)+task_start-1&gt;=BM$5)</formula>
    </cfRule>
    <cfRule type="expression" dxfId="50" priority="21" stopIfTrue="1">
      <formula>AND(task_end&gt;=BM$5,task_start&lt;BN$5)</formula>
    </cfRule>
    <cfRule type="expression" dxfId="49" priority="22">
      <formula>AND(TODAY()&gt;=BM$5, TODAY()&lt;BN$5)</formula>
    </cfRule>
  </conditionalFormatting>
  <conditionalFormatting sqref="CB25">
    <cfRule type="expression" dxfId="48" priority="17">
      <formula>AND(task_start&lt;=CA$5,ROUNDDOWN((task_end-task_start+1)*task_progress,0)+task_start-1&gt;=CA$5)</formula>
    </cfRule>
    <cfRule type="expression" dxfId="47" priority="18" stopIfTrue="1">
      <formula>AND(task_end&gt;=CA$5,task_start&lt;CB$5)</formula>
    </cfRule>
    <cfRule type="expression" dxfId="46" priority="19">
      <formula>AND(TODAY()&gt;=CA$5, TODAY()&lt;CB$5)</formula>
    </cfRule>
  </conditionalFormatting>
  <conditionalFormatting sqref="CC25:GN25 H25:CA27 CB26:GN27 BL4:GM6 H4:BK23 BL9 BN9:GN9 BL10:GN11 BL12:BO12 BQ12:GN12 BL13:GN23 H24:GN24">
    <cfRule type="expression" dxfId="45" priority="6">
      <formula>AND(TODAY()&gt;=H$5, TODAY()&lt;I$5)</formula>
    </cfRule>
  </conditionalFormatting>
  <conditionalFormatting sqref="CC25:GN25 H25:CA27 CB26:GN27">
    <cfRule type="expression" dxfId="44" priority="4">
      <formula>AND(task_start&lt;=H$5,ROUNDDOWN((task_end-task_start+1)*task_progress,0)+task_start-1&gt;=H$5)</formula>
    </cfRule>
    <cfRule type="expression" dxfId="43" priority="5" stopIfTrue="1">
      <formula>AND(task_end&gt;=H$5,task_start&lt;I$5)</formula>
    </cfRule>
  </conditionalFormatting>
  <conditionalFormatting sqref="GN4:GN6">
    <cfRule type="expression" dxfId="42" priority="16">
      <formula>AND(TODAY()&gt;=GN$5, TODAY()&lt;#REF!)</formula>
    </cfRule>
  </conditionalFormatting>
  <dataValidations count="12">
    <dataValidation allowBlank="1" showInputMessage="1" showErrorMessage="1" prompt="Phase 4's sample block starts in cell B26." sqref="A20 A24 A28" xr:uid="{5D00A90F-6D78-4546-8D0B-65D26D9F640F}"/>
    <dataValidation allowBlank="1" showInputMessage="1" showErrorMessage="1" prompt="Phase 3's sample block starts in cell B20." sqref="A16" xr:uid="{E3ED9601-15EA-46B8-8DD4-2E164EC4A35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5E4A1ED9-FE52-4728-A191-6D3FC29B61E9}"/>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3E36865B-0895-4ECD-A1DE-A18E9382060F}"/>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3AF2A40F-EC9B-44C2-918B-74A80D6A4C15}"/>
    <dataValidation allowBlank="1" showInputMessage="1" showErrorMessage="1" prompt="Cell B8 contains the Phase 1 sample title. Enter a new title in cell B8._x000a_To delete the phase and work only from tasks, simply delete this row." sqref="A8" xr:uid="{E62755F7-210E-47B5-9441-99B6235D076F}"/>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692A1047-741F-4F98-94F8-C7B00C78529D}"/>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782092DC-81A2-453F-BD97-7B0F71E0154E}"/>
    <dataValidation allowBlank="1" showInputMessage="1" showErrorMessage="1" prompt="Enter the name of the Project Lead in cell C3. Enter the Project Start date in cell Q1. Project Start: label is in cell I1." sqref="A3" xr:uid="{A1A304FA-F866-4081-B5A8-E00E673F31D1}"/>
    <dataValidation allowBlank="1" showInputMessage="1" showErrorMessage="1" prompt="Enter Company name in cel B2." sqref="A2" xr:uid="{3CB01B66-4689-4EDC-80D5-B57C4D91A764}"/>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1AFED276-638B-4329-97F9-A1F424454B80}"/>
    <dataValidation type="whole" operator="greaterThanOrEqual" allowBlank="1" showInputMessage="1" promptTitle="Display Week" prompt="Changing this number will scroll the Gantt Chart view." sqref="P2" xr:uid="{F730473D-E2EF-463F-BE8E-1D9E3BC9F72D}">
      <formula1>1</formula1>
    </dataValidation>
  </dataValidations>
  <printOptions horizontalCentered="1"/>
  <pageMargins left="0.35" right="0.35" top="0.35" bottom="0.5" header="0.3" footer="0.3"/>
  <pageSetup scale="57" fitToHeight="0" orientation="landscape" r:id="rId1"/>
  <headerFooter differentFirst="1" scaleWithDoc="0">
    <oddFooter>&amp;R_x000D_&amp;1#&amp;"Arial"&amp;12&amp;KFF0000 ST Restricted</oddFooter>
    <firstFooter>&amp;R_x000D_&amp;1#&amp;"Arial"&amp;12&amp;KFF0000 ST Restricted</firstFooter>
  </headerFooter>
  <drawing r:id="rId2"/>
  <extLst>
    <ext xmlns:x14="http://schemas.microsoft.com/office/spreadsheetml/2009/9/main" uri="{78C0D931-6437-407d-A8EE-F0AAD7539E65}">
      <x14:conditionalFormattings>
        <x14:conditionalFormatting xmlns:xm="http://schemas.microsoft.com/office/excel/2006/main">
          <x14:cfRule type="dataBar" id="{92E816A9-4A09-4E66-BB43-1A2517B8772E}">
            <x14:dataBar minLength="0" maxLength="100" gradient="0">
              <x14:cfvo type="num">
                <xm:f>0</xm:f>
              </x14:cfvo>
              <x14:cfvo type="num">
                <xm:f>1</xm:f>
              </x14:cfvo>
              <x14:negativeFillColor rgb="FFFF0000"/>
              <x14:axisColor rgb="FF000000"/>
            </x14:dataBar>
          </x14:cfRule>
          <xm:sqref>C7:C31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J50"/>
  <sheetViews>
    <sheetView showGridLines="0" showRuler="0" topLeftCell="A17" zoomScale="46" zoomScaleNormal="55" zoomScalePageLayoutView="70" workbookViewId="0">
      <selection activeCell="S19" sqref="S19"/>
    </sheetView>
  </sheetViews>
  <sheetFormatPr defaultColWidth="8.75" defaultRowHeight="30" customHeight="1" x14ac:dyDescent="0.2"/>
  <cols>
    <col min="1" max="1" width="2.75" style="10" customWidth="1"/>
    <col min="2" max="2" width="22.75" customWidth="1"/>
    <col min="3" max="3" width="10.75" customWidth="1"/>
    <col min="4" max="4" width="10.75" style="2" customWidth="1"/>
    <col min="5" max="5" width="10.75" customWidth="1"/>
    <col min="6" max="6" width="2.75" customWidth="1"/>
    <col min="7" max="7" width="6" hidden="1" customWidth="1"/>
    <col min="8" max="196" width="2.75" customWidth="1"/>
  </cols>
  <sheetData>
    <row r="1" spans="1:244" ht="90" customHeight="1" x14ac:dyDescent="1.1000000000000001">
      <c r="A1" s="11"/>
      <c r="B1" s="69" t="s">
        <v>21</v>
      </c>
      <c r="C1" s="13"/>
      <c r="D1" s="14"/>
      <c r="E1" s="15"/>
      <c r="G1" s="1"/>
      <c r="H1" s="115" t="s">
        <v>19</v>
      </c>
      <c r="I1" s="116"/>
      <c r="J1" s="116"/>
      <c r="K1" s="116"/>
      <c r="L1" s="116"/>
      <c r="M1" s="116"/>
      <c r="N1" s="116"/>
      <c r="O1" s="18"/>
      <c r="P1" s="117">
        <f>DATE(2026,2,9)</f>
        <v>46062</v>
      </c>
      <c r="Q1" s="118"/>
      <c r="R1" s="118"/>
      <c r="S1" s="118"/>
      <c r="T1" s="118"/>
      <c r="U1" s="118"/>
      <c r="V1" s="118"/>
      <c r="W1" s="118"/>
      <c r="X1" s="118"/>
      <c r="Y1" s="118"/>
      <c r="AC1" s="115" t="s">
        <v>19</v>
      </c>
      <c r="AD1" s="116"/>
      <c r="AE1" s="116"/>
      <c r="AF1" s="116"/>
      <c r="AG1" s="116"/>
      <c r="AH1" s="116"/>
      <c r="AI1" s="116"/>
      <c r="AJ1" s="117">
        <f>DATE(2026,8,9)</f>
        <v>46243</v>
      </c>
      <c r="AK1" s="118"/>
      <c r="AL1" s="118"/>
      <c r="AM1" s="118"/>
      <c r="AN1" s="118"/>
      <c r="AO1" s="118"/>
      <c r="AP1" s="118"/>
      <c r="AQ1" s="118"/>
      <c r="AR1" s="118"/>
      <c r="AS1" s="118"/>
    </row>
    <row r="2" spans="1:244" ht="30" customHeight="1" x14ac:dyDescent="0.5">
      <c r="B2" s="68" t="s">
        <v>22</v>
      </c>
      <c r="C2" s="16"/>
      <c r="D2" s="17"/>
      <c r="E2" s="16"/>
      <c r="H2" s="115" t="s">
        <v>20</v>
      </c>
      <c r="I2" s="116"/>
      <c r="J2" s="116"/>
      <c r="K2" s="116"/>
      <c r="L2" s="116"/>
      <c r="M2" s="116"/>
      <c r="N2" s="116"/>
      <c r="O2" s="18"/>
      <c r="P2" s="119">
        <v>1</v>
      </c>
      <c r="Q2" s="118"/>
      <c r="R2" s="118"/>
      <c r="S2" s="118"/>
      <c r="T2" s="118"/>
      <c r="U2" s="118"/>
      <c r="V2" s="118"/>
      <c r="W2" s="118"/>
      <c r="X2" s="118"/>
      <c r="Y2" s="118"/>
    </row>
    <row r="3" spans="1:244" s="20" customFormat="1" ht="30" customHeight="1" x14ac:dyDescent="0.25">
      <c r="A3" s="10"/>
      <c r="B3" s="19"/>
      <c r="C3" s="21"/>
      <c r="D3" s="22"/>
    </row>
    <row r="4" spans="1:244" s="20" customFormat="1" ht="30" customHeight="1" x14ac:dyDescent="0.2">
      <c r="A4" s="11"/>
      <c r="B4" s="23"/>
      <c r="D4" s="24"/>
      <c r="H4" s="120">
        <f>H5</f>
        <v>46062</v>
      </c>
      <c r="I4" s="114"/>
      <c r="J4" s="114"/>
      <c r="K4" s="114"/>
      <c r="L4" s="114"/>
      <c r="M4" s="114"/>
      <c r="N4" s="114"/>
      <c r="O4" s="114">
        <f>O5</f>
        <v>46069</v>
      </c>
      <c r="P4" s="114"/>
      <c r="Q4" s="114"/>
      <c r="R4" s="114"/>
      <c r="S4" s="114"/>
      <c r="T4" s="114"/>
      <c r="U4" s="114"/>
      <c r="V4" s="114">
        <f>V5</f>
        <v>46076</v>
      </c>
      <c r="W4" s="114"/>
      <c r="X4" s="114"/>
      <c r="Y4" s="114"/>
      <c r="Z4" s="114"/>
      <c r="AA4" s="114"/>
      <c r="AB4" s="114"/>
      <c r="AC4" s="114">
        <f>AC5</f>
        <v>46083</v>
      </c>
      <c r="AD4" s="114"/>
      <c r="AE4" s="114"/>
      <c r="AF4" s="114"/>
      <c r="AG4" s="114"/>
      <c r="AH4" s="114"/>
      <c r="AI4" s="114"/>
      <c r="AJ4" s="114">
        <f>AJ5</f>
        <v>46090</v>
      </c>
      <c r="AK4" s="114"/>
      <c r="AL4" s="114"/>
      <c r="AM4" s="114"/>
      <c r="AN4" s="114"/>
      <c r="AO4" s="114"/>
      <c r="AP4" s="114"/>
      <c r="AQ4" s="114">
        <f>AQ5</f>
        <v>46097</v>
      </c>
      <c r="AR4" s="114"/>
      <c r="AS4" s="114"/>
      <c r="AT4" s="114"/>
      <c r="AU4" s="114"/>
      <c r="AV4" s="114"/>
      <c r="AW4" s="114"/>
      <c r="AX4" s="114">
        <f>AX5</f>
        <v>46104</v>
      </c>
      <c r="AY4" s="114"/>
      <c r="AZ4" s="114"/>
      <c r="BA4" s="114"/>
      <c r="BB4" s="114"/>
      <c r="BC4" s="114"/>
      <c r="BD4" s="114"/>
      <c r="BE4" s="114">
        <f>BE5</f>
        <v>46111</v>
      </c>
      <c r="BF4" s="114"/>
      <c r="BG4" s="114"/>
      <c r="BH4" s="114"/>
      <c r="BI4" s="114"/>
      <c r="BJ4" s="114"/>
      <c r="BK4" s="121"/>
      <c r="BL4" s="114">
        <f>BL5</f>
        <v>46118</v>
      </c>
      <c r="BM4" s="114"/>
      <c r="BN4" s="114"/>
      <c r="BO4" s="114"/>
      <c r="BP4" s="114"/>
      <c r="BQ4" s="114"/>
      <c r="BR4" s="121"/>
      <c r="BS4" s="114">
        <f>BS5</f>
        <v>46125</v>
      </c>
      <c r="BT4" s="114"/>
      <c r="BU4" s="114"/>
      <c r="BV4" s="114"/>
      <c r="BW4" s="114"/>
      <c r="BX4" s="114"/>
      <c r="BY4" s="121"/>
      <c r="BZ4" s="114">
        <f t="shared" ref="BZ4" si="0">BZ5</f>
        <v>46132</v>
      </c>
      <c r="CA4" s="114"/>
      <c r="CB4" s="114"/>
      <c r="CC4" s="114"/>
      <c r="CD4" s="114"/>
      <c r="CE4" s="114"/>
      <c r="CF4" s="121"/>
      <c r="CG4" s="114">
        <f t="shared" ref="CG4" si="1">CG5</f>
        <v>46139</v>
      </c>
      <c r="CH4" s="114"/>
      <c r="CI4" s="114"/>
      <c r="CJ4" s="114"/>
      <c r="CK4" s="114"/>
      <c r="CL4" s="114"/>
      <c r="CM4" s="121"/>
      <c r="CN4" s="114">
        <f t="shared" ref="CN4" si="2">CN5</f>
        <v>46146</v>
      </c>
      <c r="CO4" s="114"/>
      <c r="CP4" s="114"/>
      <c r="CQ4" s="114"/>
      <c r="CR4" s="114"/>
      <c r="CS4" s="114"/>
      <c r="CT4" s="121"/>
      <c r="CU4" s="114">
        <f t="shared" ref="CU4" si="3">CU5</f>
        <v>46153</v>
      </c>
      <c r="CV4" s="114"/>
      <c r="CW4" s="114"/>
      <c r="CX4" s="114"/>
      <c r="CY4" s="114"/>
      <c r="CZ4" s="114"/>
      <c r="DA4" s="121"/>
      <c r="DB4" s="114">
        <f t="shared" ref="DB4" si="4">DB5</f>
        <v>46160</v>
      </c>
      <c r="DC4" s="114"/>
      <c r="DD4" s="114"/>
      <c r="DE4" s="114"/>
      <c r="DF4" s="114"/>
      <c r="DG4" s="114"/>
      <c r="DH4" s="121"/>
      <c r="DI4" s="114">
        <f t="shared" ref="DI4" si="5">DI5</f>
        <v>46167</v>
      </c>
      <c r="DJ4" s="114"/>
      <c r="DK4" s="114"/>
      <c r="DL4" s="114"/>
      <c r="DM4" s="114"/>
      <c r="DN4" s="114"/>
      <c r="DO4" s="121"/>
      <c r="DP4" s="114">
        <f t="shared" ref="DP4" si="6">DP5</f>
        <v>46174</v>
      </c>
      <c r="DQ4" s="114"/>
      <c r="DR4" s="114"/>
      <c r="DS4" s="114"/>
      <c r="DT4" s="114"/>
      <c r="DU4" s="114"/>
      <c r="DV4" s="121"/>
      <c r="DW4" s="114">
        <f t="shared" ref="DW4" si="7">DW5</f>
        <v>46181</v>
      </c>
      <c r="DX4" s="114"/>
      <c r="DY4" s="114"/>
      <c r="DZ4" s="114"/>
      <c r="EA4" s="114"/>
      <c r="EB4" s="114"/>
      <c r="EC4" s="121"/>
      <c r="ED4" s="114">
        <f t="shared" ref="ED4" si="8">ED5</f>
        <v>46188</v>
      </c>
      <c r="EE4" s="114"/>
      <c r="EF4" s="114"/>
      <c r="EG4" s="114"/>
      <c r="EH4" s="114"/>
      <c r="EI4" s="114"/>
      <c r="EJ4" s="121"/>
      <c r="EK4" s="114">
        <f t="shared" ref="EK4" si="9">EK5</f>
        <v>46195</v>
      </c>
      <c r="EL4" s="114"/>
      <c r="EM4" s="114"/>
      <c r="EN4" s="114"/>
      <c r="EO4" s="114"/>
      <c r="EP4" s="114"/>
      <c r="EQ4" s="121"/>
      <c r="ER4" s="114">
        <f t="shared" ref="ER4" si="10">ER5</f>
        <v>46202</v>
      </c>
      <c r="ES4" s="114"/>
      <c r="ET4" s="114"/>
      <c r="EU4" s="114"/>
      <c r="EV4" s="114"/>
      <c r="EW4" s="114"/>
      <c r="EX4" s="121"/>
      <c r="EY4" s="114">
        <f t="shared" ref="EY4" si="11">EY5</f>
        <v>46209</v>
      </c>
      <c r="EZ4" s="114"/>
      <c r="FA4" s="114"/>
      <c r="FB4" s="114"/>
      <c r="FC4" s="114"/>
      <c r="FD4" s="114"/>
      <c r="FE4" s="121"/>
      <c r="FF4" s="114">
        <f t="shared" ref="FF4" si="12">FF5</f>
        <v>46216</v>
      </c>
      <c r="FG4" s="114"/>
      <c r="FH4" s="114"/>
      <c r="FI4" s="114"/>
      <c r="FJ4" s="114"/>
      <c r="FK4" s="114"/>
      <c r="FL4" s="121"/>
      <c r="FM4" s="114">
        <f t="shared" ref="FM4" si="13">FM5</f>
        <v>46223</v>
      </c>
      <c r="FN4" s="114"/>
      <c r="FO4" s="114"/>
      <c r="FP4" s="114"/>
      <c r="FQ4" s="114"/>
      <c r="FR4" s="114"/>
      <c r="FS4" s="121"/>
      <c r="FT4" s="114">
        <f t="shared" ref="FT4" si="14">FT5</f>
        <v>46230</v>
      </c>
      <c r="FU4" s="114"/>
      <c r="FV4" s="114"/>
      <c r="FW4" s="114"/>
      <c r="FX4" s="114"/>
      <c r="FY4" s="114"/>
      <c r="FZ4" s="121"/>
      <c r="GA4" s="114">
        <f t="shared" ref="GA4" si="15">GA5</f>
        <v>46237</v>
      </c>
      <c r="GB4" s="114"/>
      <c r="GC4" s="114"/>
      <c r="GD4" s="114"/>
      <c r="GE4" s="114"/>
      <c r="GF4" s="114"/>
      <c r="GG4" s="121"/>
      <c r="GH4" s="114">
        <f t="shared" ref="GH4" si="16">GH5</f>
        <v>46244</v>
      </c>
      <c r="GI4" s="114"/>
      <c r="GJ4" s="114"/>
      <c r="GK4" s="114"/>
      <c r="GL4" s="114"/>
      <c r="GM4" s="114"/>
      <c r="GN4" s="121"/>
    </row>
    <row r="5" spans="1:244" s="20" customFormat="1" ht="15" x14ac:dyDescent="0.2">
      <c r="A5" s="122"/>
      <c r="B5" s="123" t="s">
        <v>4</v>
      </c>
      <c r="C5" s="125" t="s">
        <v>0</v>
      </c>
      <c r="D5" s="125" t="s">
        <v>2</v>
      </c>
      <c r="E5" s="125" t="s">
        <v>3</v>
      </c>
      <c r="H5" s="25">
        <f>Project_Start-WEEKDAY(Project_Start,1)+2+7*(Display_Week-1)</f>
        <v>46062</v>
      </c>
      <c r="I5" s="25">
        <f>H5+1</f>
        <v>46063</v>
      </c>
      <c r="J5" s="25">
        <f t="shared" ref="J5:AW5" si="17">I5+1</f>
        <v>46064</v>
      </c>
      <c r="K5" s="25">
        <f t="shared" si="17"/>
        <v>46065</v>
      </c>
      <c r="L5" s="25">
        <f t="shared" si="17"/>
        <v>46066</v>
      </c>
      <c r="M5" s="25">
        <f t="shared" si="17"/>
        <v>46067</v>
      </c>
      <c r="N5" s="26">
        <f t="shared" si="17"/>
        <v>46068</v>
      </c>
      <c r="O5" s="27">
        <f>N5+1</f>
        <v>46069</v>
      </c>
      <c r="P5" s="25">
        <f>O5+1</f>
        <v>46070</v>
      </c>
      <c r="Q5" s="25">
        <f t="shared" si="17"/>
        <v>46071</v>
      </c>
      <c r="R5" s="25">
        <f t="shared" si="17"/>
        <v>46072</v>
      </c>
      <c r="S5" s="25">
        <f t="shared" si="17"/>
        <v>46073</v>
      </c>
      <c r="T5" s="25">
        <f t="shared" si="17"/>
        <v>46074</v>
      </c>
      <c r="U5" s="26">
        <f t="shared" si="17"/>
        <v>46075</v>
      </c>
      <c r="V5" s="27">
        <f>U5+1</f>
        <v>46076</v>
      </c>
      <c r="W5" s="25">
        <f>V5+1</f>
        <v>46077</v>
      </c>
      <c r="X5" s="25">
        <f t="shared" si="17"/>
        <v>46078</v>
      </c>
      <c r="Y5" s="25">
        <f t="shared" si="17"/>
        <v>46079</v>
      </c>
      <c r="Z5" s="25">
        <f t="shared" si="17"/>
        <v>46080</v>
      </c>
      <c r="AA5" s="25">
        <f t="shared" si="17"/>
        <v>46081</v>
      </c>
      <c r="AB5" s="26">
        <f t="shared" si="17"/>
        <v>46082</v>
      </c>
      <c r="AC5" s="27">
        <f>AB5+1</f>
        <v>46083</v>
      </c>
      <c r="AD5" s="25">
        <f>AC5+1</f>
        <v>46084</v>
      </c>
      <c r="AE5" s="25">
        <f t="shared" si="17"/>
        <v>46085</v>
      </c>
      <c r="AF5" s="25">
        <f t="shared" si="17"/>
        <v>46086</v>
      </c>
      <c r="AG5" s="25">
        <f t="shared" si="17"/>
        <v>46087</v>
      </c>
      <c r="AH5" s="25">
        <f t="shared" si="17"/>
        <v>46088</v>
      </c>
      <c r="AI5" s="26">
        <f t="shared" si="17"/>
        <v>46089</v>
      </c>
      <c r="AJ5" s="27">
        <f>AI5+1</f>
        <v>46090</v>
      </c>
      <c r="AK5" s="25">
        <f>AJ5+1</f>
        <v>46091</v>
      </c>
      <c r="AL5" s="25">
        <f t="shared" si="17"/>
        <v>46092</v>
      </c>
      <c r="AM5" s="25">
        <f t="shared" si="17"/>
        <v>46093</v>
      </c>
      <c r="AN5" s="25">
        <f t="shared" si="17"/>
        <v>46094</v>
      </c>
      <c r="AO5" s="25">
        <f t="shared" si="17"/>
        <v>46095</v>
      </c>
      <c r="AP5" s="26">
        <f t="shared" si="17"/>
        <v>46096</v>
      </c>
      <c r="AQ5" s="27">
        <f>AP5+1</f>
        <v>46097</v>
      </c>
      <c r="AR5" s="25">
        <f>AQ5+1</f>
        <v>46098</v>
      </c>
      <c r="AS5" s="25">
        <f t="shared" si="17"/>
        <v>46099</v>
      </c>
      <c r="AT5" s="25">
        <f t="shared" si="17"/>
        <v>46100</v>
      </c>
      <c r="AU5" s="25">
        <f t="shared" si="17"/>
        <v>46101</v>
      </c>
      <c r="AV5" s="25">
        <f t="shared" si="17"/>
        <v>46102</v>
      </c>
      <c r="AW5" s="26">
        <f t="shared" si="17"/>
        <v>46103</v>
      </c>
      <c r="AX5" s="27">
        <f>AW5+1</f>
        <v>46104</v>
      </c>
      <c r="AY5" s="25">
        <f>AX5+1</f>
        <v>46105</v>
      </c>
      <c r="AZ5" s="25">
        <f t="shared" ref="AZ5:BD5" si="18">AY5+1</f>
        <v>46106</v>
      </c>
      <c r="BA5" s="25">
        <f t="shared" si="18"/>
        <v>46107</v>
      </c>
      <c r="BB5" s="25">
        <f t="shared" si="18"/>
        <v>46108</v>
      </c>
      <c r="BC5" s="25">
        <f t="shared" si="18"/>
        <v>46109</v>
      </c>
      <c r="BD5" s="26">
        <f t="shared" si="18"/>
        <v>46110</v>
      </c>
      <c r="BE5" s="27">
        <f>BD5+1</f>
        <v>46111</v>
      </c>
      <c r="BF5" s="25">
        <f>BE5+1</f>
        <v>46112</v>
      </c>
      <c r="BG5" s="25">
        <f t="shared" ref="BG5" si="19">BF5+1</f>
        <v>46113</v>
      </c>
      <c r="BH5" s="25">
        <f t="shared" ref="BH5" si="20">BG5+1</f>
        <v>46114</v>
      </c>
      <c r="BI5" s="25">
        <f t="shared" ref="BI5" si="21">BH5+1</f>
        <v>46115</v>
      </c>
      <c r="BJ5" s="25">
        <f t="shared" ref="BJ5" si="22">BI5+1</f>
        <v>46116</v>
      </c>
      <c r="BK5" s="25">
        <f t="shared" ref="BK5" si="23">BJ5+1</f>
        <v>46117</v>
      </c>
      <c r="BL5" s="25">
        <f t="shared" ref="BL5" si="24">BK5+1</f>
        <v>46118</v>
      </c>
      <c r="BM5" s="25">
        <f t="shared" ref="BM5" si="25">BL5+1</f>
        <v>46119</v>
      </c>
      <c r="BN5" s="25">
        <f t="shared" ref="BN5" si="26">BM5+1</f>
        <v>46120</v>
      </c>
      <c r="BO5" s="25">
        <f>BN5+1</f>
        <v>46121</v>
      </c>
      <c r="BP5" s="25">
        <f t="shared" ref="BP5" si="27">BO5+1</f>
        <v>46122</v>
      </c>
      <c r="BQ5" s="25">
        <f t="shared" ref="BQ5" si="28">BP5+1</f>
        <v>46123</v>
      </c>
      <c r="BR5" s="25">
        <f t="shared" ref="BR5" si="29">BQ5+1</f>
        <v>46124</v>
      </c>
      <c r="BS5" s="25">
        <f t="shared" ref="BS5" si="30">BR5+1</f>
        <v>46125</v>
      </c>
      <c r="BT5" s="25">
        <f t="shared" ref="BT5" si="31">BS5+1</f>
        <v>46126</v>
      </c>
      <c r="BU5" s="25">
        <f t="shared" ref="BU5" si="32">BT5+1</f>
        <v>46127</v>
      </c>
      <c r="BV5" s="25">
        <f t="shared" ref="BV5" si="33">BU5+1</f>
        <v>46128</v>
      </c>
      <c r="BW5" s="25">
        <f t="shared" ref="BW5" si="34">BV5+1</f>
        <v>46129</v>
      </c>
      <c r="BX5" s="25">
        <f t="shared" ref="BX5" si="35">BW5+1</f>
        <v>46130</v>
      </c>
      <c r="BY5" s="25">
        <f t="shared" ref="BY5" si="36">BX5+1</f>
        <v>46131</v>
      </c>
      <c r="BZ5" s="25">
        <f t="shared" ref="BZ5" si="37">BY5+1</f>
        <v>46132</v>
      </c>
      <c r="CA5" s="25">
        <f t="shared" ref="CA5" si="38">BZ5+1</f>
        <v>46133</v>
      </c>
      <c r="CB5" s="25">
        <f t="shared" ref="CB5" si="39">CA5+1</f>
        <v>46134</v>
      </c>
      <c r="CC5" s="25">
        <f t="shared" ref="CC5" si="40">CB5+1</f>
        <v>46135</v>
      </c>
      <c r="CD5" s="25">
        <f t="shared" ref="CD5" si="41">CC5+1</f>
        <v>46136</v>
      </c>
      <c r="CE5" s="25">
        <f t="shared" ref="CE5" si="42">CD5+1</f>
        <v>46137</v>
      </c>
      <c r="CF5" s="25">
        <f t="shared" ref="CF5" si="43">CE5+1</f>
        <v>46138</v>
      </c>
      <c r="CG5" s="25">
        <f t="shared" ref="CG5" si="44">CF5+1</f>
        <v>46139</v>
      </c>
      <c r="CH5" s="25">
        <f t="shared" ref="CH5" si="45">CG5+1</f>
        <v>46140</v>
      </c>
      <c r="CI5" s="25">
        <f t="shared" ref="CI5" si="46">CH5+1</f>
        <v>46141</v>
      </c>
      <c r="CJ5" s="25">
        <f t="shared" ref="CJ5" si="47">CI5+1</f>
        <v>46142</v>
      </c>
      <c r="CK5" s="25">
        <f t="shared" ref="CK5" si="48">CJ5+1</f>
        <v>46143</v>
      </c>
      <c r="CL5" s="25">
        <f t="shared" ref="CL5:CM5" si="49">CK5+1</f>
        <v>46144</v>
      </c>
      <c r="CM5" s="25">
        <f t="shared" si="49"/>
        <v>46145</v>
      </c>
      <c r="CN5" s="25">
        <f t="shared" ref="CN5" si="50">CM5+1</f>
        <v>46146</v>
      </c>
      <c r="CO5" s="25">
        <f t="shared" ref="CO5" si="51">CN5+1</f>
        <v>46147</v>
      </c>
      <c r="CP5" s="25">
        <f t="shared" ref="CP5" si="52">CO5+1</f>
        <v>46148</v>
      </c>
      <c r="CQ5" s="25">
        <f t="shared" ref="CQ5" si="53">CP5+1</f>
        <v>46149</v>
      </c>
      <c r="CR5" s="25">
        <f t="shared" ref="CR5" si="54">CQ5+1</f>
        <v>46150</v>
      </c>
      <c r="CS5" s="25">
        <f t="shared" ref="CS5" si="55">CR5+1</f>
        <v>46151</v>
      </c>
      <c r="CT5" s="25">
        <f t="shared" ref="CT5" si="56">CS5+1</f>
        <v>46152</v>
      </c>
      <c r="CU5" s="25">
        <f t="shared" ref="CU5" si="57">CT5+1</f>
        <v>46153</v>
      </c>
      <c r="CV5" s="25">
        <f t="shared" ref="CV5" si="58">CU5+1</f>
        <v>46154</v>
      </c>
      <c r="CW5" s="25">
        <f t="shared" ref="CW5" si="59">CV5+1</f>
        <v>46155</v>
      </c>
      <c r="CX5" s="25">
        <f t="shared" ref="CX5" si="60">CW5+1</f>
        <v>46156</v>
      </c>
      <c r="CY5" s="25">
        <f t="shared" ref="CY5" si="61">CX5+1</f>
        <v>46157</v>
      </c>
      <c r="CZ5" s="25">
        <f t="shared" ref="CZ5" si="62">CY5+1</f>
        <v>46158</v>
      </c>
      <c r="DA5" s="25">
        <f t="shared" ref="DA5" si="63">CZ5+1</f>
        <v>46159</v>
      </c>
      <c r="DB5" s="25">
        <f t="shared" ref="DB5" si="64">DA5+1</f>
        <v>46160</v>
      </c>
      <c r="DC5" s="25">
        <f t="shared" ref="DC5" si="65">DB5+1</f>
        <v>46161</v>
      </c>
      <c r="DD5" s="25">
        <f t="shared" ref="DD5" si="66">DC5+1</f>
        <v>46162</v>
      </c>
      <c r="DE5" s="25">
        <f t="shared" ref="DE5" si="67">DD5+1</f>
        <v>46163</v>
      </c>
      <c r="DF5" s="25">
        <f t="shared" ref="DF5" si="68">DE5+1</f>
        <v>46164</v>
      </c>
      <c r="DG5" s="25">
        <f t="shared" ref="DG5" si="69">DF5+1</f>
        <v>46165</v>
      </c>
      <c r="DH5" s="25">
        <f t="shared" ref="DH5" si="70">DG5+1</f>
        <v>46166</v>
      </c>
      <c r="DI5" s="25">
        <f t="shared" ref="DI5" si="71">DH5+1</f>
        <v>46167</v>
      </c>
      <c r="DJ5" s="25">
        <f t="shared" ref="DJ5" si="72">DI5+1</f>
        <v>46168</v>
      </c>
      <c r="DK5" s="25">
        <f t="shared" ref="DK5" si="73">DJ5+1</f>
        <v>46169</v>
      </c>
      <c r="DL5" s="25">
        <f t="shared" ref="DL5" si="74">DK5+1</f>
        <v>46170</v>
      </c>
      <c r="DM5" s="25">
        <f t="shared" ref="DM5" si="75">DL5+1</f>
        <v>46171</v>
      </c>
      <c r="DN5" s="25">
        <f t="shared" ref="DN5" si="76">DM5+1</f>
        <v>46172</v>
      </c>
      <c r="DO5" s="25">
        <f t="shared" ref="DO5" si="77">DN5+1</f>
        <v>46173</v>
      </c>
      <c r="DP5" s="25">
        <f t="shared" ref="DP5" si="78">DO5+1</f>
        <v>46174</v>
      </c>
      <c r="DQ5" s="25">
        <f t="shared" ref="DQ5" si="79">DP5+1</f>
        <v>46175</v>
      </c>
      <c r="DR5" s="25">
        <f t="shared" ref="DR5" si="80">DQ5+1</f>
        <v>46176</v>
      </c>
      <c r="DS5" s="25">
        <f t="shared" ref="DS5" si="81">DR5+1</f>
        <v>46177</v>
      </c>
      <c r="DT5" s="25">
        <f t="shared" ref="DT5" si="82">DS5+1</f>
        <v>46178</v>
      </c>
      <c r="DU5" s="25">
        <f t="shared" ref="DU5" si="83">DT5+1</f>
        <v>46179</v>
      </c>
      <c r="DV5" s="25">
        <f t="shared" ref="DV5" si="84">DU5+1</f>
        <v>46180</v>
      </c>
      <c r="DW5" s="25">
        <f t="shared" ref="DW5" si="85">DV5+1</f>
        <v>46181</v>
      </c>
      <c r="DX5" s="25">
        <f t="shared" ref="DX5" si="86">DW5+1</f>
        <v>46182</v>
      </c>
      <c r="DY5" s="25">
        <f t="shared" ref="DY5" si="87">DX5+1</f>
        <v>46183</v>
      </c>
      <c r="DZ5" s="25">
        <f t="shared" ref="DZ5" si="88">DY5+1</f>
        <v>46184</v>
      </c>
      <c r="EA5" s="25">
        <f t="shared" ref="EA5" si="89">DZ5+1</f>
        <v>46185</v>
      </c>
      <c r="EB5" s="25">
        <f t="shared" ref="EB5" si="90">EA5+1</f>
        <v>46186</v>
      </c>
      <c r="EC5" s="25">
        <f t="shared" ref="EC5" si="91">EB5+1</f>
        <v>46187</v>
      </c>
      <c r="ED5" s="25">
        <f t="shared" ref="ED5" si="92">EC5+1</f>
        <v>46188</v>
      </c>
      <c r="EE5" s="25">
        <f t="shared" ref="EE5" si="93">ED5+1</f>
        <v>46189</v>
      </c>
      <c r="EF5" s="25">
        <f t="shared" ref="EF5" si="94">EE5+1</f>
        <v>46190</v>
      </c>
      <c r="EG5" s="25">
        <f t="shared" ref="EG5" si="95">EF5+1</f>
        <v>46191</v>
      </c>
      <c r="EH5" s="25">
        <f t="shared" ref="EH5" si="96">EG5+1</f>
        <v>46192</v>
      </c>
      <c r="EI5" s="25">
        <f t="shared" ref="EI5" si="97">EH5+1</f>
        <v>46193</v>
      </c>
      <c r="EJ5" s="25">
        <f t="shared" ref="EJ5" si="98">EI5+1</f>
        <v>46194</v>
      </c>
      <c r="EK5" s="25">
        <f t="shared" ref="EK5" si="99">EJ5+1</f>
        <v>46195</v>
      </c>
      <c r="EL5" s="25">
        <f t="shared" ref="EL5" si="100">EK5+1</f>
        <v>46196</v>
      </c>
      <c r="EM5" s="25">
        <f t="shared" ref="EM5" si="101">EL5+1</f>
        <v>46197</v>
      </c>
      <c r="EN5" s="25">
        <f t="shared" ref="EN5" si="102">EM5+1</f>
        <v>46198</v>
      </c>
      <c r="EO5" s="25">
        <f t="shared" ref="EO5" si="103">EN5+1</f>
        <v>46199</v>
      </c>
      <c r="EP5" s="25">
        <f t="shared" ref="EP5" si="104">EO5+1</f>
        <v>46200</v>
      </c>
      <c r="EQ5" s="25">
        <f t="shared" ref="EQ5" si="105">EP5+1</f>
        <v>46201</v>
      </c>
      <c r="ER5" s="25">
        <f t="shared" ref="ER5" si="106">EQ5+1</f>
        <v>46202</v>
      </c>
      <c r="ES5" s="25">
        <f t="shared" ref="ES5" si="107">ER5+1</f>
        <v>46203</v>
      </c>
      <c r="ET5" s="25">
        <f t="shared" ref="ET5" si="108">ES5+1</f>
        <v>46204</v>
      </c>
      <c r="EU5" s="25">
        <f t="shared" ref="EU5" si="109">ET5+1</f>
        <v>46205</v>
      </c>
      <c r="EV5" s="25">
        <f t="shared" ref="EV5" si="110">EU5+1</f>
        <v>46206</v>
      </c>
      <c r="EW5" s="25">
        <f t="shared" ref="EW5" si="111">EV5+1</f>
        <v>46207</v>
      </c>
      <c r="EX5" s="25">
        <f t="shared" ref="EX5" si="112">EW5+1</f>
        <v>46208</v>
      </c>
      <c r="EY5" s="25">
        <f t="shared" ref="EY5" si="113">EX5+1</f>
        <v>46209</v>
      </c>
      <c r="EZ5" s="25">
        <f t="shared" ref="EZ5" si="114">EY5+1</f>
        <v>46210</v>
      </c>
      <c r="FA5" s="25">
        <f t="shared" ref="FA5" si="115">EZ5+1</f>
        <v>46211</v>
      </c>
      <c r="FB5" s="25">
        <f t="shared" ref="FB5" si="116">FA5+1</f>
        <v>46212</v>
      </c>
      <c r="FC5" s="25">
        <f t="shared" ref="FC5" si="117">FB5+1</f>
        <v>46213</v>
      </c>
      <c r="FD5" s="25">
        <f t="shared" ref="FD5" si="118">FC5+1</f>
        <v>46214</v>
      </c>
      <c r="FE5" s="25">
        <f t="shared" ref="FE5" si="119">FD5+1</f>
        <v>46215</v>
      </c>
      <c r="FF5" s="25">
        <f t="shared" ref="FF5" si="120">FE5+1</f>
        <v>46216</v>
      </c>
      <c r="FG5" s="25">
        <f t="shared" ref="FG5" si="121">FF5+1</f>
        <v>46217</v>
      </c>
      <c r="FH5" s="25">
        <f t="shared" ref="FH5" si="122">FG5+1</f>
        <v>46218</v>
      </c>
      <c r="FI5" s="25">
        <f t="shared" ref="FI5" si="123">FH5+1</f>
        <v>46219</v>
      </c>
      <c r="FJ5" s="25">
        <f t="shared" ref="FJ5" si="124">FI5+1</f>
        <v>46220</v>
      </c>
      <c r="FK5" s="25">
        <f t="shared" ref="FK5" si="125">FJ5+1</f>
        <v>46221</v>
      </c>
      <c r="FL5" s="25">
        <f t="shared" ref="FL5" si="126">FK5+1</f>
        <v>46222</v>
      </c>
      <c r="FM5" s="25">
        <f t="shared" ref="FM5" si="127">FL5+1</f>
        <v>46223</v>
      </c>
      <c r="FN5" s="25">
        <f t="shared" ref="FN5" si="128">FM5+1</f>
        <v>46224</v>
      </c>
      <c r="FO5" s="25">
        <f t="shared" ref="FO5" si="129">FN5+1</f>
        <v>46225</v>
      </c>
      <c r="FP5" s="25">
        <f t="shared" ref="FP5" si="130">FO5+1</f>
        <v>46226</v>
      </c>
      <c r="FQ5" s="25">
        <f t="shared" ref="FQ5" si="131">FP5+1</f>
        <v>46227</v>
      </c>
      <c r="FR5" s="25">
        <f t="shared" ref="FR5" si="132">FQ5+1</f>
        <v>46228</v>
      </c>
      <c r="FS5" s="25">
        <f t="shared" ref="FS5" si="133">FR5+1</f>
        <v>46229</v>
      </c>
      <c r="FT5" s="25">
        <f t="shared" ref="FT5" si="134">FS5+1</f>
        <v>46230</v>
      </c>
      <c r="FU5" s="25">
        <f t="shared" ref="FU5" si="135">FT5+1</f>
        <v>46231</v>
      </c>
      <c r="FV5" s="25">
        <f t="shared" ref="FV5" si="136">FU5+1</f>
        <v>46232</v>
      </c>
      <c r="FW5" s="25">
        <f t="shared" ref="FW5" si="137">FV5+1</f>
        <v>46233</v>
      </c>
      <c r="FX5" s="25">
        <f t="shared" ref="FX5" si="138">FW5+1</f>
        <v>46234</v>
      </c>
      <c r="FY5" s="25">
        <f t="shared" ref="FY5" si="139">FX5+1</f>
        <v>46235</v>
      </c>
      <c r="FZ5" s="25">
        <f t="shared" ref="FZ5" si="140">FY5+1</f>
        <v>46236</v>
      </c>
      <c r="GA5" s="25">
        <f t="shared" ref="GA5" si="141">FZ5+1</f>
        <v>46237</v>
      </c>
      <c r="GB5" s="25">
        <f t="shared" ref="GB5" si="142">GA5+1</f>
        <v>46238</v>
      </c>
      <c r="GC5" s="25">
        <f t="shared" ref="GC5" si="143">GB5+1</f>
        <v>46239</v>
      </c>
      <c r="GD5" s="25">
        <f t="shared" ref="GD5" si="144">GC5+1</f>
        <v>46240</v>
      </c>
      <c r="GE5" s="25">
        <f t="shared" ref="GE5" si="145">GD5+1</f>
        <v>46241</v>
      </c>
      <c r="GF5" s="25">
        <f t="shared" ref="GF5" si="146">GE5+1</f>
        <v>46242</v>
      </c>
      <c r="GG5" s="25">
        <f t="shared" ref="GG5" si="147">GF5+1</f>
        <v>46243</v>
      </c>
      <c r="GH5" s="25">
        <f t="shared" ref="GH5" si="148">GG5+1</f>
        <v>46244</v>
      </c>
      <c r="GI5" s="25">
        <f t="shared" ref="GI5" si="149">GH5+1</f>
        <v>46245</v>
      </c>
      <c r="GJ5" s="25">
        <f t="shared" ref="GJ5" si="150">GI5+1</f>
        <v>46246</v>
      </c>
      <c r="GK5" s="25">
        <f t="shared" ref="GK5" si="151">GJ5+1</f>
        <v>46247</v>
      </c>
      <c r="GL5" s="25">
        <f t="shared" ref="GL5" si="152">GK5+1</f>
        <v>46248</v>
      </c>
      <c r="GM5" s="25">
        <f t="shared" ref="GM5" si="153">GL5+1</f>
        <v>46249</v>
      </c>
      <c r="GN5" s="25">
        <f t="shared" ref="GN5" si="154">GM5+1</f>
        <v>46250</v>
      </c>
      <c r="GX5" s="100"/>
      <c r="GY5" s="100"/>
      <c r="GZ5" s="100"/>
      <c r="HA5" s="100"/>
      <c r="HB5" s="100"/>
      <c r="HC5" s="100"/>
      <c r="HD5" s="100"/>
      <c r="HE5" s="100"/>
      <c r="HF5" s="100"/>
      <c r="HG5" s="100"/>
      <c r="HH5" s="100"/>
      <c r="HI5" s="100"/>
    </row>
    <row r="6" spans="1:244" s="20" customFormat="1" ht="15" thickBot="1" x14ac:dyDescent="0.25">
      <c r="A6" s="122"/>
      <c r="B6" s="124"/>
      <c r="C6" s="126"/>
      <c r="D6" s="126"/>
      <c r="E6" s="126"/>
      <c r="H6" s="28" t="str">
        <f t="shared" ref="H6:AM6" si="155">LEFT(TEXT(H5,"ddd"),1)</f>
        <v>M</v>
      </c>
      <c r="I6" s="29" t="str">
        <f t="shared" si="155"/>
        <v>T</v>
      </c>
      <c r="J6" s="29" t="str">
        <f t="shared" si="155"/>
        <v>W</v>
      </c>
      <c r="K6" s="29" t="str">
        <f t="shared" si="155"/>
        <v>T</v>
      </c>
      <c r="L6" s="29" t="str">
        <f t="shared" si="155"/>
        <v>F</v>
      </c>
      <c r="M6" s="29" t="str">
        <f t="shared" si="155"/>
        <v>S</v>
      </c>
      <c r="N6" s="29" t="str">
        <f t="shared" si="155"/>
        <v>S</v>
      </c>
      <c r="O6" s="29" t="str">
        <f t="shared" si="155"/>
        <v>M</v>
      </c>
      <c r="P6" s="29" t="str">
        <f t="shared" si="155"/>
        <v>T</v>
      </c>
      <c r="Q6" s="29" t="str">
        <f t="shared" si="155"/>
        <v>W</v>
      </c>
      <c r="R6" s="29" t="str">
        <f t="shared" si="155"/>
        <v>T</v>
      </c>
      <c r="S6" s="29" t="str">
        <f t="shared" si="155"/>
        <v>F</v>
      </c>
      <c r="T6" s="29" t="str">
        <f t="shared" si="155"/>
        <v>S</v>
      </c>
      <c r="U6" s="29" t="str">
        <f t="shared" si="155"/>
        <v>S</v>
      </c>
      <c r="V6" s="29" t="str">
        <f t="shared" si="155"/>
        <v>M</v>
      </c>
      <c r="W6" s="29" t="str">
        <f t="shared" si="155"/>
        <v>T</v>
      </c>
      <c r="X6" s="29" t="str">
        <f t="shared" si="155"/>
        <v>W</v>
      </c>
      <c r="Y6" s="29" t="str">
        <f t="shared" si="155"/>
        <v>T</v>
      </c>
      <c r="Z6" s="29" t="str">
        <f t="shared" si="155"/>
        <v>F</v>
      </c>
      <c r="AA6" s="29" t="str">
        <f t="shared" si="155"/>
        <v>S</v>
      </c>
      <c r="AB6" s="29" t="str">
        <f t="shared" si="155"/>
        <v>S</v>
      </c>
      <c r="AC6" s="29" t="str">
        <f t="shared" si="155"/>
        <v>M</v>
      </c>
      <c r="AD6" s="29" t="str">
        <f t="shared" si="155"/>
        <v>T</v>
      </c>
      <c r="AE6" s="29" t="str">
        <f t="shared" si="155"/>
        <v>W</v>
      </c>
      <c r="AF6" s="29" t="str">
        <f t="shared" si="155"/>
        <v>T</v>
      </c>
      <c r="AG6" s="29" t="str">
        <f t="shared" si="155"/>
        <v>F</v>
      </c>
      <c r="AH6" s="29" t="str">
        <f t="shared" si="155"/>
        <v>S</v>
      </c>
      <c r="AI6" s="29" t="str">
        <f t="shared" si="155"/>
        <v>S</v>
      </c>
      <c r="AJ6" s="29" t="str">
        <f t="shared" si="155"/>
        <v>M</v>
      </c>
      <c r="AK6" s="29" t="str">
        <f t="shared" si="155"/>
        <v>T</v>
      </c>
      <c r="AL6" s="29" t="str">
        <f t="shared" si="155"/>
        <v>W</v>
      </c>
      <c r="AM6" s="29" t="str">
        <f t="shared" si="155"/>
        <v>T</v>
      </c>
      <c r="AN6" s="29" t="str">
        <f t="shared" ref="AN6:BU6" si="156">LEFT(TEXT(AN5,"ddd"),1)</f>
        <v>F</v>
      </c>
      <c r="AO6" s="29" t="str">
        <f t="shared" si="156"/>
        <v>S</v>
      </c>
      <c r="AP6" s="29" t="str">
        <f t="shared" si="156"/>
        <v>S</v>
      </c>
      <c r="AQ6" s="29" t="str">
        <f t="shared" si="156"/>
        <v>M</v>
      </c>
      <c r="AR6" s="29" t="str">
        <f t="shared" si="156"/>
        <v>T</v>
      </c>
      <c r="AS6" s="29" t="str">
        <f t="shared" si="156"/>
        <v>W</v>
      </c>
      <c r="AT6" s="29" t="str">
        <f t="shared" si="156"/>
        <v>T</v>
      </c>
      <c r="AU6" s="29" t="str">
        <f t="shared" si="156"/>
        <v>F</v>
      </c>
      <c r="AV6" s="29" t="str">
        <f t="shared" si="156"/>
        <v>S</v>
      </c>
      <c r="AW6" s="29" t="str">
        <f t="shared" si="156"/>
        <v>S</v>
      </c>
      <c r="AX6" s="29" t="str">
        <f t="shared" si="156"/>
        <v>M</v>
      </c>
      <c r="AY6" s="29" t="str">
        <f t="shared" si="156"/>
        <v>T</v>
      </c>
      <c r="AZ6" s="29" t="str">
        <f t="shared" si="156"/>
        <v>W</v>
      </c>
      <c r="BA6" s="29" t="str">
        <f t="shared" si="156"/>
        <v>T</v>
      </c>
      <c r="BB6" s="29" t="str">
        <f t="shared" si="156"/>
        <v>F</v>
      </c>
      <c r="BC6" s="29" t="str">
        <f t="shared" si="156"/>
        <v>S</v>
      </c>
      <c r="BD6" s="29" t="str">
        <f t="shared" si="156"/>
        <v>S</v>
      </c>
      <c r="BE6" s="29" t="str">
        <f t="shared" si="156"/>
        <v>M</v>
      </c>
      <c r="BF6" s="29" t="str">
        <f t="shared" si="156"/>
        <v>T</v>
      </c>
      <c r="BG6" s="29" t="str">
        <f t="shared" si="156"/>
        <v>W</v>
      </c>
      <c r="BH6" s="29" t="str">
        <f t="shared" si="156"/>
        <v>T</v>
      </c>
      <c r="BI6" s="29" t="str">
        <f t="shared" si="156"/>
        <v>F</v>
      </c>
      <c r="BJ6" s="29" t="str">
        <f t="shared" si="156"/>
        <v>S</v>
      </c>
      <c r="BK6" s="30" t="str">
        <f t="shared" si="156"/>
        <v>S</v>
      </c>
      <c r="BL6" s="30" t="str">
        <f t="shared" si="156"/>
        <v>M</v>
      </c>
      <c r="BM6" s="30" t="str">
        <f t="shared" si="156"/>
        <v>T</v>
      </c>
      <c r="BN6" s="30" t="str">
        <f t="shared" si="156"/>
        <v>W</v>
      </c>
      <c r="BO6" s="30" t="str">
        <f t="shared" si="156"/>
        <v>T</v>
      </c>
      <c r="BP6" s="30" t="str">
        <f t="shared" si="156"/>
        <v>F</v>
      </c>
      <c r="BQ6" s="30" t="str">
        <f t="shared" si="156"/>
        <v>S</v>
      </c>
      <c r="BR6" s="30" t="str">
        <f t="shared" si="156"/>
        <v>S</v>
      </c>
      <c r="BS6" s="30" t="str">
        <f t="shared" si="156"/>
        <v>M</v>
      </c>
      <c r="BT6" s="30" t="str">
        <f t="shared" si="156"/>
        <v>T</v>
      </c>
      <c r="BU6" s="30" t="str">
        <f t="shared" si="156"/>
        <v>W</v>
      </c>
      <c r="BV6" s="30" t="str">
        <f t="shared" ref="BV6:CM6" si="157">LEFT(TEXT(BV5,"ddd"),1)</f>
        <v>T</v>
      </c>
      <c r="BW6" s="30" t="str">
        <f t="shared" si="157"/>
        <v>F</v>
      </c>
      <c r="BX6" s="30" t="str">
        <f t="shared" si="157"/>
        <v>S</v>
      </c>
      <c r="BY6" s="30" t="str">
        <f t="shared" si="157"/>
        <v>S</v>
      </c>
      <c r="BZ6" s="30" t="str">
        <f t="shared" si="157"/>
        <v>M</v>
      </c>
      <c r="CA6" s="30" t="str">
        <f t="shared" si="157"/>
        <v>T</v>
      </c>
      <c r="CB6" s="30" t="str">
        <f t="shared" si="157"/>
        <v>W</v>
      </c>
      <c r="CC6" s="30" t="str">
        <f t="shared" si="157"/>
        <v>T</v>
      </c>
      <c r="CD6" s="30" t="str">
        <f t="shared" si="157"/>
        <v>F</v>
      </c>
      <c r="CE6" s="30" t="str">
        <f t="shared" si="157"/>
        <v>S</v>
      </c>
      <c r="CF6" s="30" t="str">
        <f t="shared" si="157"/>
        <v>S</v>
      </c>
      <c r="CG6" s="30" t="str">
        <f t="shared" si="157"/>
        <v>M</v>
      </c>
      <c r="CH6" s="30" t="str">
        <f t="shared" si="157"/>
        <v>T</v>
      </c>
      <c r="CI6" s="30" t="str">
        <f t="shared" si="157"/>
        <v>W</v>
      </c>
      <c r="CJ6" s="30" t="str">
        <f t="shared" si="157"/>
        <v>T</v>
      </c>
      <c r="CK6" s="30" t="str">
        <f t="shared" si="157"/>
        <v>F</v>
      </c>
      <c r="CL6" s="30" t="str">
        <f t="shared" si="157"/>
        <v>S</v>
      </c>
      <c r="CM6" s="30" t="str">
        <f t="shared" si="157"/>
        <v>S</v>
      </c>
      <c r="CN6" s="30" t="str">
        <f t="shared" ref="CN6:DA6" si="158">LEFT(TEXT(CN5,"ddd"),1)</f>
        <v>M</v>
      </c>
      <c r="CO6" s="30" t="str">
        <f t="shared" si="158"/>
        <v>T</v>
      </c>
      <c r="CP6" s="30" t="str">
        <f t="shared" si="158"/>
        <v>W</v>
      </c>
      <c r="CQ6" s="30" t="str">
        <f t="shared" si="158"/>
        <v>T</v>
      </c>
      <c r="CR6" s="30" t="str">
        <f t="shared" si="158"/>
        <v>F</v>
      </c>
      <c r="CS6" s="30" t="str">
        <f t="shared" si="158"/>
        <v>S</v>
      </c>
      <c r="CT6" s="30" t="str">
        <f t="shared" si="158"/>
        <v>S</v>
      </c>
      <c r="CU6" s="30" t="str">
        <f t="shared" si="158"/>
        <v>M</v>
      </c>
      <c r="CV6" s="30" t="str">
        <f t="shared" si="158"/>
        <v>T</v>
      </c>
      <c r="CW6" s="30" t="str">
        <f t="shared" si="158"/>
        <v>W</v>
      </c>
      <c r="CX6" s="30" t="str">
        <f t="shared" si="158"/>
        <v>T</v>
      </c>
      <c r="CY6" s="30" t="str">
        <f t="shared" si="158"/>
        <v>F</v>
      </c>
      <c r="CZ6" s="30" t="str">
        <f t="shared" si="158"/>
        <v>S</v>
      </c>
      <c r="DA6" s="30" t="str">
        <f t="shared" si="158"/>
        <v>S</v>
      </c>
      <c r="DB6" s="30" t="str">
        <f t="shared" ref="DB6:EQ6" si="159">LEFT(TEXT(DB5,"ddd"),1)</f>
        <v>M</v>
      </c>
      <c r="DC6" s="30" t="str">
        <f t="shared" si="159"/>
        <v>T</v>
      </c>
      <c r="DD6" s="30" t="str">
        <f t="shared" si="159"/>
        <v>W</v>
      </c>
      <c r="DE6" s="30" t="str">
        <f t="shared" si="159"/>
        <v>T</v>
      </c>
      <c r="DF6" s="30" t="str">
        <f t="shared" si="159"/>
        <v>F</v>
      </c>
      <c r="DG6" s="30" t="str">
        <f t="shared" si="159"/>
        <v>S</v>
      </c>
      <c r="DH6" s="30" t="str">
        <f t="shared" si="159"/>
        <v>S</v>
      </c>
      <c r="DI6" s="30" t="str">
        <f t="shared" si="159"/>
        <v>M</v>
      </c>
      <c r="DJ6" s="30" t="str">
        <f t="shared" si="159"/>
        <v>T</v>
      </c>
      <c r="DK6" s="30" t="str">
        <f t="shared" si="159"/>
        <v>W</v>
      </c>
      <c r="DL6" s="30" t="str">
        <f t="shared" si="159"/>
        <v>T</v>
      </c>
      <c r="DM6" s="30" t="str">
        <f t="shared" si="159"/>
        <v>F</v>
      </c>
      <c r="DN6" s="30" t="str">
        <f t="shared" si="159"/>
        <v>S</v>
      </c>
      <c r="DO6" s="30" t="str">
        <f t="shared" si="159"/>
        <v>S</v>
      </c>
      <c r="DP6" s="30" t="str">
        <f t="shared" si="159"/>
        <v>M</v>
      </c>
      <c r="DQ6" s="30" t="str">
        <f t="shared" si="159"/>
        <v>T</v>
      </c>
      <c r="DR6" s="30" t="str">
        <f t="shared" si="159"/>
        <v>W</v>
      </c>
      <c r="DS6" s="30" t="str">
        <f t="shared" si="159"/>
        <v>T</v>
      </c>
      <c r="DT6" s="30" t="str">
        <f t="shared" si="159"/>
        <v>F</v>
      </c>
      <c r="DU6" s="30" t="str">
        <f t="shared" si="159"/>
        <v>S</v>
      </c>
      <c r="DV6" s="30" t="str">
        <f t="shared" si="159"/>
        <v>S</v>
      </c>
      <c r="DW6" s="30" t="str">
        <f t="shared" si="159"/>
        <v>M</v>
      </c>
      <c r="DX6" s="30" t="str">
        <f t="shared" si="159"/>
        <v>T</v>
      </c>
      <c r="DY6" s="30" t="str">
        <f t="shared" si="159"/>
        <v>W</v>
      </c>
      <c r="DZ6" s="30" t="str">
        <f t="shared" si="159"/>
        <v>T</v>
      </c>
      <c r="EA6" s="30" t="str">
        <f t="shared" si="159"/>
        <v>F</v>
      </c>
      <c r="EB6" s="30" t="str">
        <f t="shared" si="159"/>
        <v>S</v>
      </c>
      <c r="EC6" s="30" t="str">
        <f t="shared" si="159"/>
        <v>S</v>
      </c>
      <c r="ED6" s="30" t="str">
        <f t="shared" si="159"/>
        <v>M</v>
      </c>
      <c r="EE6" s="30" t="str">
        <f t="shared" si="159"/>
        <v>T</v>
      </c>
      <c r="EF6" s="30" t="str">
        <f t="shared" si="159"/>
        <v>W</v>
      </c>
      <c r="EG6" s="30" t="str">
        <f t="shared" si="159"/>
        <v>T</v>
      </c>
      <c r="EH6" s="30" t="str">
        <f t="shared" si="159"/>
        <v>F</v>
      </c>
      <c r="EI6" s="30" t="str">
        <f t="shared" si="159"/>
        <v>S</v>
      </c>
      <c r="EJ6" s="30" t="str">
        <f t="shared" si="159"/>
        <v>S</v>
      </c>
      <c r="EK6" s="30" t="str">
        <f t="shared" si="159"/>
        <v>M</v>
      </c>
      <c r="EL6" s="30" t="str">
        <f t="shared" si="159"/>
        <v>T</v>
      </c>
      <c r="EM6" s="30" t="str">
        <f t="shared" si="159"/>
        <v>W</v>
      </c>
      <c r="EN6" s="30" t="str">
        <f t="shared" si="159"/>
        <v>T</v>
      </c>
      <c r="EO6" s="30" t="str">
        <f t="shared" si="159"/>
        <v>F</v>
      </c>
      <c r="EP6" s="30" t="str">
        <f t="shared" si="159"/>
        <v>S</v>
      </c>
      <c r="EQ6" s="30" t="str">
        <f t="shared" si="159"/>
        <v>S</v>
      </c>
      <c r="ER6" s="30" t="str">
        <f t="shared" ref="ER6:GN6" si="160">LEFT(TEXT(ER5,"ddd"),1)</f>
        <v>M</v>
      </c>
      <c r="ES6" s="30" t="str">
        <f t="shared" si="160"/>
        <v>T</v>
      </c>
      <c r="ET6" s="30" t="str">
        <f t="shared" si="160"/>
        <v>W</v>
      </c>
      <c r="EU6" s="30" t="str">
        <f t="shared" si="160"/>
        <v>T</v>
      </c>
      <c r="EV6" s="30" t="str">
        <f t="shared" si="160"/>
        <v>F</v>
      </c>
      <c r="EW6" s="30" t="str">
        <f t="shared" si="160"/>
        <v>S</v>
      </c>
      <c r="EX6" s="30" t="str">
        <f t="shared" si="160"/>
        <v>S</v>
      </c>
      <c r="EY6" s="30" t="str">
        <f t="shared" si="160"/>
        <v>M</v>
      </c>
      <c r="EZ6" s="30" t="str">
        <f t="shared" si="160"/>
        <v>T</v>
      </c>
      <c r="FA6" s="30" t="str">
        <f t="shared" si="160"/>
        <v>W</v>
      </c>
      <c r="FB6" s="30" t="str">
        <f t="shared" si="160"/>
        <v>T</v>
      </c>
      <c r="FC6" s="30" t="str">
        <f t="shared" si="160"/>
        <v>F</v>
      </c>
      <c r="FD6" s="30" t="str">
        <f t="shared" si="160"/>
        <v>S</v>
      </c>
      <c r="FE6" s="30" t="str">
        <f t="shared" si="160"/>
        <v>S</v>
      </c>
      <c r="FF6" s="30" t="str">
        <f t="shared" si="160"/>
        <v>M</v>
      </c>
      <c r="FG6" s="30" t="str">
        <f t="shared" si="160"/>
        <v>T</v>
      </c>
      <c r="FH6" s="30" t="str">
        <f t="shared" si="160"/>
        <v>W</v>
      </c>
      <c r="FI6" s="30" t="str">
        <f t="shared" si="160"/>
        <v>T</v>
      </c>
      <c r="FJ6" s="30" t="str">
        <f t="shared" si="160"/>
        <v>F</v>
      </c>
      <c r="FK6" s="30" t="str">
        <f t="shared" si="160"/>
        <v>S</v>
      </c>
      <c r="FL6" s="30" t="str">
        <f t="shared" si="160"/>
        <v>S</v>
      </c>
      <c r="FM6" s="30" t="str">
        <f t="shared" si="160"/>
        <v>M</v>
      </c>
      <c r="FN6" s="30" t="str">
        <f t="shared" si="160"/>
        <v>T</v>
      </c>
      <c r="FO6" s="30" t="str">
        <f t="shared" si="160"/>
        <v>W</v>
      </c>
      <c r="FP6" s="30" t="str">
        <f t="shared" si="160"/>
        <v>T</v>
      </c>
      <c r="FQ6" s="30" t="str">
        <f t="shared" si="160"/>
        <v>F</v>
      </c>
      <c r="FR6" s="30" t="str">
        <f t="shared" si="160"/>
        <v>S</v>
      </c>
      <c r="FS6" s="30" t="str">
        <f t="shared" si="160"/>
        <v>S</v>
      </c>
      <c r="FT6" s="30" t="str">
        <f t="shared" si="160"/>
        <v>M</v>
      </c>
      <c r="FU6" s="30" t="str">
        <f t="shared" si="160"/>
        <v>T</v>
      </c>
      <c r="FV6" s="30" t="str">
        <f t="shared" si="160"/>
        <v>W</v>
      </c>
      <c r="FW6" s="30" t="str">
        <f t="shared" si="160"/>
        <v>T</v>
      </c>
      <c r="FX6" s="30" t="str">
        <f t="shared" si="160"/>
        <v>F</v>
      </c>
      <c r="FY6" s="30" t="str">
        <f t="shared" si="160"/>
        <v>S</v>
      </c>
      <c r="FZ6" s="30" t="str">
        <f t="shared" si="160"/>
        <v>S</v>
      </c>
      <c r="GA6" s="30" t="str">
        <f t="shared" si="160"/>
        <v>M</v>
      </c>
      <c r="GB6" s="30" t="str">
        <f t="shared" si="160"/>
        <v>T</v>
      </c>
      <c r="GC6" s="30" t="str">
        <f t="shared" si="160"/>
        <v>W</v>
      </c>
      <c r="GD6" s="30" t="str">
        <f t="shared" si="160"/>
        <v>T</v>
      </c>
      <c r="GE6" s="30" t="str">
        <f t="shared" si="160"/>
        <v>F</v>
      </c>
      <c r="GF6" s="30" t="str">
        <f t="shared" si="160"/>
        <v>S</v>
      </c>
      <c r="GG6" s="30" t="str">
        <f t="shared" si="160"/>
        <v>S</v>
      </c>
      <c r="GH6" s="30" t="str">
        <f t="shared" si="160"/>
        <v>M</v>
      </c>
      <c r="GI6" s="30" t="str">
        <f t="shared" si="160"/>
        <v>T</v>
      </c>
      <c r="GJ6" s="30" t="str">
        <f t="shared" si="160"/>
        <v>W</v>
      </c>
      <c r="GK6" s="30" t="str">
        <f t="shared" si="160"/>
        <v>T</v>
      </c>
      <c r="GL6" s="30" t="str">
        <f t="shared" si="160"/>
        <v>F</v>
      </c>
      <c r="GM6" s="30" t="str">
        <f t="shared" si="160"/>
        <v>S</v>
      </c>
      <c r="GN6" s="30" t="str">
        <f t="shared" si="160"/>
        <v>S</v>
      </c>
    </row>
    <row r="7" spans="1:244" s="20" customFormat="1" ht="30" hidden="1" customHeight="1" x14ac:dyDescent="0.2">
      <c r="A7" s="10" t="s">
        <v>18</v>
      </c>
      <c r="B7" s="31"/>
      <c r="C7" s="31"/>
      <c r="D7" s="31"/>
      <c r="E7" s="31"/>
      <c r="G7" s="20" t="str">
        <f>IF(OR(ISBLANK(task_start),ISBLANK(task_end)),"",task_end-task_start+1)</f>
        <v/>
      </c>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row>
    <row r="8" spans="1:244" s="38" customFormat="1" ht="30" customHeight="1" thickBot="1" x14ac:dyDescent="0.25">
      <c r="A8" s="11"/>
      <c r="B8" s="33" t="s">
        <v>26</v>
      </c>
      <c r="C8" s="34"/>
      <c r="D8" s="35"/>
      <c r="E8" s="36"/>
      <c r="F8" s="12"/>
      <c r="G8" s="3" t="str">
        <f t="shared" ref="G8:G31" si="161">IF(OR(ISBLANK(task_start),ISBLANK(task_end)),"",task_end-task_start+1)</f>
        <v/>
      </c>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244" s="38" customFormat="1" ht="30" customHeight="1" thickBot="1" x14ac:dyDescent="0.25">
      <c r="A9" s="11"/>
      <c r="B9" s="77" t="s">
        <v>24</v>
      </c>
      <c r="C9" s="39">
        <v>1</v>
      </c>
      <c r="D9" s="40">
        <f>DATE(2026,2,9)</f>
        <v>46062</v>
      </c>
      <c r="E9" s="40">
        <f>DATE(2026,2,27)</f>
        <v>46080</v>
      </c>
      <c r="F9" s="12"/>
      <c r="G9" s="3">
        <f t="shared" si="161"/>
        <v>19</v>
      </c>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row>
    <row r="10" spans="1:244" s="38" customFormat="1" ht="30" customHeight="1" thickBot="1" x14ac:dyDescent="0.25">
      <c r="A10" s="11"/>
      <c r="B10" s="42" t="s">
        <v>23</v>
      </c>
      <c r="C10" s="43">
        <v>0.8</v>
      </c>
      <c r="D10" s="44">
        <f>DATE(2026,2,10)</f>
        <v>46063</v>
      </c>
      <c r="E10" s="44">
        <f>DATE(2026,2,18)</f>
        <v>46071</v>
      </c>
      <c r="F10" s="12"/>
      <c r="G10" s="3">
        <f t="shared" si="161"/>
        <v>9</v>
      </c>
      <c r="H10" s="41"/>
      <c r="I10" s="41"/>
      <c r="J10" s="41"/>
      <c r="K10" s="41"/>
      <c r="L10" s="41"/>
      <c r="M10" s="41"/>
      <c r="N10" s="41"/>
      <c r="O10" s="41"/>
      <c r="P10" s="41"/>
      <c r="Q10" s="41"/>
      <c r="R10" s="41"/>
      <c r="S10" s="41"/>
      <c r="T10" s="45"/>
      <c r="U10" s="45"/>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5"/>
      <c r="BT10" s="45"/>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c r="EI10" s="41"/>
      <c r="EJ10" s="41"/>
      <c r="EK10" s="41"/>
      <c r="EL10" s="41"/>
      <c r="EM10" s="41"/>
      <c r="EN10" s="41"/>
      <c r="EO10" s="41"/>
      <c r="EP10" s="41"/>
      <c r="EQ10" s="41"/>
      <c r="ER10" s="41"/>
      <c r="ES10" s="41"/>
      <c r="ET10" s="41"/>
      <c r="EU10" s="41"/>
      <c r="EV10" s="41"/>
      <c r="EW10" s="41"/>
      <c r="EX10" s="41"/>
      <c r="EY10" s="41"/>
      <c r="EZ10" s="41"/>
      <c r="FA10" s="41"/>
      <c r="FB10" s="41"/>
      <c r="FC10" s="41"/>
      <c r="FD10" s="41"/>
      <c r="FE10" s="41"/>
      <c r="FF10" s="41"/>
      <c r="FG10" s="41"/>
      <c r="FH10" s="41"/>
      <c r="FI10" s="41"/>
      <c r="FJ10" s="41"/>
      <c r="FK10" s="41"/>
      <c r="FL10" s="41"/>
      <c r="FM10" s="41"/>
      <c r="FN10" s="41"/>
      <c r="FO10" s="41"/>
      <c r="FP10" s="41"/>
      <c r="FQ10" s="41"/>
      <c r="FR10" s="41"/>
      <c r="FS10" s="41"/>
      <c r="FT10" s="41"/>
      <c r="FU10" s="41"/>
      <c r="FV10" s="41"/>
      <c r="FW10" s="41"/>
      <c r="FX10" s="41"/>
      <c r="FY10" s="41"/>
      <c r="FZ10" s="41"/>
      <c r="GA10" s="41"/>
      <c r="GB10" s="41"/>
      <c r="GC10" s="41"/>
      <c r="GD10" s="41"/>
      <c r="GE10" s="41"/>
      <c r="GF10" s="41"/>
      <c r="GG10" s="41"/>
      <c r="GH10" s="41"/>
      <c r="GI10" s="41"/>
      <c r="GJ10" s="41"/>
      <c r="GK10" s="41"/>
      <c r="GL10" s="41"/>
      <c r="GM10" s="41"/>
      <c r="GN10" s="41"/>
    </row>
    <row r="11" spans="1:244" s="38" customFormat="1" ht="30" customHeight="1" thickBot="1" x14ac:dyDescent="0.3">
      <c r="A11" s="10"/>
      <c r="B11" s="42" t="s">
        <v>25</v>
      </c>
      <c r="C11" s="43">
        <v>0.9</v>
      </c>
      <c r="D11" s="44">
        <f>DATE(2026,2,18)</f>
        <v>46071</v>
      </c>
      <c r="E11" s="44">
        <f>DATE(2026,2,27)</f>
        <v>46080</v>
      </c>
      <c r="F11" s="12"/>
      <c r="G11" s="3">
        <f t="shared" si="161"/>
        <v>10</v>
      </c>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c r="EI11" s="41"/>
      <c r="EJ11" s="41"/>
      <c r="EK11" s="41"/>
      <c r="EL11" s="41"/>
      <c r="EM11" s="41"/>
      <c r="EN11" s="41"/>
      <c r="EO11" s="41"/>
      <c r="EP11" s="41"/>
      <c r="EQ11" s="41"/>
      <c r="ER11" s="41"/>
      <c r="ES11" s="41"/>
      <c r="ET11" s="41"/>
      <c r="EU11" s="41"/>
      <c r="EV11" s="41"/>
      <c r="EW11" s="41"/>
      <c r="EX11" s="41"/>
      <c r="EY11" s="41"/>
      <c r="EZ11" s="41"/>
      <c r="FA11" s="41"/>
      <c r="FB11" s="41"/>
      <c r="FC11" s="41"/>
      <c r="FD11" s="41"/>
      <c r="FE11" s="41"/>
      <c r="FF11" s="41"/>
      <c r="FG11" s="41"/>
      <c r="FH11" s="41"/>
      <c r="FI11" s="41"/>
      <c r="FJ11" s="41"/>
      <c r="FK11" s="41"/>
      <c r="FL11" s="41"/>
      <c r="FM11" s="41"/>
      <c r="FN11" s="41"/>
      <c r="FO11" s="41"/>
      <c r="FP11" s="41"/>
      <c r="FQ11" s="41"/>
      <c r="FR11" s="41"/>
      <c r="FS11" s="41"/>
      <c r="FT11" s="41"/>
      <c r="FU11" s="41"/>
      <c r="FV11" s="41"/>
      <c r="FW11" s="41"/>
      <c r="FX11" s="41"/>
      <c r="FY11" s="41"/>
      <c r="FZ11" s="41"/>
      <c r="GA11" s="41"/>
      <c r="GB11" s="41"/>
      <c r="GC11" s="41"/>
      <c r="GD11" s="41"/>
      <c r="GE11" s="41"/>
      <c r="GF11" s="41"/>
      <c r="GG11" s="41"/>
      <c r="GH11" s="41"/>
      <c r="GI11" s="41"/>
      <c r="GJ11" s="41"/>
      <c r="GK11" s="41"/>
      <c r="GL11" s="41"/>
      <c r="GM11" s="41"/>
      <c r="GN11" s="41"/>
      <c r="HX11" s="101" t="s">
        <v>48</v>
      </c>
      <c r="HY11" s="101"/>
      <c r="HZ11" s="102"/>
      <c r="IA11" s="101"/>
      <c r="IB11" s="101"/>
      <c r="IC11" s="101"/>
      <c r="ID11" s="101"/>
      <c r="IE11" s="101"/>
      <c r="IF11" s="101"/>
      <c r="IG11" s="101"/>
      <c r="IH11" s="101"/>
      <c r="II11" s="101"/>
      <c r="IJ11" s="103"/>
    </row>
    <row r="12" spans="1:244" s="38" customFormat="1" ht="30" customHeight="1" thickBot="1" x14ac:dyDescent="0.25">
      <c r="A12" s="11"/>
      <c r="B12" s="46" t="s">
        <v>27</v>
      </c>
      <c r="C12" s="47"/>
      <c r="D12" s="48"/>
      <c r="E12" s="49"/>
      <c r="F12" s="12"/>
      <c r="G12" s="3" t="str">
        <f t="shared" si="161"/>
        <v/>
      </c>
      <c r="BP12" s="41"/>
    </row>
    <row r="13" spans="1:244" s="38" customFormat="1" ht="30" customHeight="1" thickBot="1" x14ac:dyDescent="0.25">
      <c r="A13" s="11"/>
      <c r="B13" s="78" t="s">
        <v>45</v>
      </c>
      <c r="C13" s="50">
        <v>0.4</v>
      </c>
      <c r="D13" s="51">
        <f>DATE(2026,3,2)</f>
        <v>46083</v>
      </c>
      <c r="E13" s="51">
        <f>DATE(2026,3,6)</f>
        <v>46087</v>
      </c>
      <c r="F13" s="12"/>
      <c r="G13" s="3">
        <f t="shared" si="161"/>
        <v>5</v>
      </c>
      <c r="H13" s="41"/>
      <c r="I13" s="79"/>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row>
    <row r="14" spans="1:244" s="38" customFormat="1" ht="30" customHeight="1" thickBot="1" x14ac:dyDescent="0.25">
      <c r="A14" s="10"/>
      <c r="B14" s="78" t="s">
        <v>44</v>
      </c>
      <c r="C14" s="50">
        <v>0.2</v>
      </c>
      <c r="D14" s="51">
        <f>DATE(2026,3,7)</f>
        <v>46088</v>
      </c>
      <c r="E14" s="51">
        <f>DATE(2026,3,13)</f>
        <v>46094</v>
      </c>
      <c r="F14" s="12"/>
      <c r="G14" s="3">
        <f t="shared" si="161"/>
        <v>7</v>
      </c>
      <c r="H14" s="41"/>
      <c r="I14" s="41"/>
      <c r="J14" s="41"/>
      <c r="K14" s="41"/>
      <c r="L14" s="41"/>
      <c r="M14" s="41"/>
      <c r="N14" s="41"/>
      <c r="O14" s="41"/>
      <c r="P14" s="41"/>
      <c r="Q14" s="41"/>
      <c r="R14" s="41"/>
      <c r="S14" s="41"/>
      <c r="T14" s="45"/>
      <c r="U14" s="45"/>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5"/>
      <c r="BT14" s="45"/>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c r="EH14" s="41"/>
      <c r="EI14" s="41"/>
      <c r="EJ14" s="41"/>
      <c r="EK14" s="41"/>
      <c r="EL14" s="41"/>
      <c r="EM14" s="41"/>
      <c r="EN14" s="41"/>
      <c r="EO14" s="41"/>
      <c r="EP14" s="41"/>
      <c r="EQ14" s="41"/>
      <c r="ER14" s="41"/>
      <c r="ES14" s="41"/>
      <c r="ET14" s="41"/>
      <c r="EU14" s="41"/>
      <c r="EV14" s="41"/>
      <c r="EW14" s="41"/>
      <c r="EX14" s="41"/>
      <c r="EY14" s="41"/>
      <c r="EZ14" s="41"/>
      <c r="FA14" s="41"/>
      <c r="FB14" s="41"/>
      <c r="FC14" s="41"/>
      <c r="FD14" s="41"/>
      <c r="FE14" s="41"/>
      <c r="FF14" s="41"/>
      <c r="FG14" s="41"/>
      <c r="FH14" s="41"/>
      <c r="FI14" s="41"/>
      <c r="FJ14" s="41"/>
      <c r="FK14" s="41"/>
      <c r="FL14" s="41"/>
      <c r="FM14" s="41"/>
      <c r="FN14" s="41"/>
      <c r="FO14" s="41"/>
      <c r="FP14" s="41"/>
      <c r="FQ14" s="41"/>
      <c r="FR14" s="41"/>
      <c r="FS14" s="41"/>
      <c r="FT14" s="41"/>
      <c r="FU14" s="41"/>
      <c r="FV14" s="41"/>
      <c r="FW14" s="41"/>
      <c r="FX14" s="41"/>
      <c r="FY14" s="41"/>
      <c r="FZ14" s="41"/>
      <c r="GA14" s="41"/>
      <c r="GB14" s="41"/>
      <c r="GC14" s="41"/>
      <c r="GD14" s="41"/>
      <c r="GE14" s="41"/>
      <c r="GF14" s="41"/>
      <c r="GG14" s="41"/>
      <c r="GH14" s="41"/>
      <c r="GI14" s="41"/>
      <c r="GJ14" s="41"/>
      <c r="GK14" s="41"/>
      <c r="GL14" s="41"/>
      <c r="GM14" s="41"/>
      <c r="GN14" s="41"/>
    </row>
    <row r="15" spans="1:244" s="38" customFormat="1" ht="30" customHeight="1" thickBot="1" x14ac:dyDescent="0.25">
      <c r="A15" s="10"/>
      <c r="B15" s="99" t="s">
        <v>47</v>
      </c>
      <c r="C15" s="50">
        <v>0.3</v>
      </c>
      <c r="D15" s="51">
        <f>DATE(2026,3,14)</f>
        <v>46095</v>
      </c>
      <c r="E15" s="51">
        <f>DATE(2026,3,31)</f>
        <v>46112</v>
      </c>
      <c r="F15" s="12"/>
      <c r="G15" s="3">
        <f t="shared" si="161"/>
        <v>18</v>
      </c>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c r="EH15" s="41"/>
      <c r="EI15" s="41"/>
      <c r="EJ15" s="41"/>
      <c r="EK15" s="41"/>
      <c r="EL15" s="41"/>
      <c r="EM15" s="41"/>
      <c r="EN15" s="41"/>
      <c r="EO15" s="41"/>
      <c r="EP15" s="41"/>
      <c r="EQ15" s="41"/>
      <c r="ER15" s="41"/>
      <c r="ES15" s="41"/>
      <c r="ET15" s="41"/>
      <c r="EU15" s="41"/>
      <c r="EV15" s="41"/>
      <c r="EW15" s="41"/>
      <c r="EX15" s="41"/>
      <c r="EY15" s="41"/>
      <c r="EZ15" s="41"/>
      <c r="FA15" s="41"/>
      <c r="FB15" s="41"/>
      <c r="FC15" s="41"/>
      <c r="FD15" s="41"/>
      <c r="FE15" s="41"/>
      <c r="FF15" s="41"/>
      <c r="FG15" s="41"/>
      <c r="FH15" s="41"/>
      <c r="FI15" s="41"/>
      <c r="FJ15" s="41"/>
      <c r="FK15" s="41"/>
      <c r="FL15" s="41"/>
      <c r="FM15" s="41"/>
      <c r="FN15" s="41"/>
      <c r="FO15" s="41"/>
      <c r="FP15" s="41"/>
      <c r="FQ15" s="41"/>
      <c r="FR15" s="41"/>
      <c r="FS15" s="41"/>
      <c r="FT15" s="41"/>
      <c r="FU15" s="41"/>
      <c r="FV15" s="41"/>
      <c r="FW15" s="41"/>
      <c r="FX15" s="41"/>
      <c r="FY15" s="41"/>
      <c r="FZ15" s="41"/>
      <c r="GA15" s="41"/>
      <c r="GB15" s="41"/>
      <c r="GC15" s="41"/>
      <c r="GD15" s="41"/>
      <c r="GE15" s="41"/>
      <c r="GF15" s="41"/>
      <c r="GG15" s="41"/>
      <c r="GH15" s="41"/>
      <c r="GI15" s="41"/>
      <c r="GJ15" s="41"/>
      <c r="GK15" s="41"/>
      <c r="GL15" s="41"/>
      <c r="GM15" s="41"/>
      <c r="GN15" s="41"/>
    </row>
    <row r="16" spans="1:244" s="38" customFormat="1" ht="30" customHeight="1" thickBot="1" x14ac:dyDescent="0.25">
      <c r="A16" s="10"/>
      <c r="B16" s="52" t="s">
        <v>28</v>
      </c>
      <c r="C16" s="53"/>
      <c r="D16" s="54"/>
      <c r="E16" s="55"/>
      <c r="F16" s="12"/>
      <c r="G16" s="3" t="str">
        <f t="shared" si="161"/>
        <v/>
      </c>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row>
    <row r="17" spans="1:196" s="38" customFormat="1" ht="30" customHeight="1" thickBot="1" x14ac:dyDescent="0.25">
      <c r="A17" s="10"/>
      <c r="B17" s="94" t="s">
        <v>32</v>
      </c>
      <c r="C17" s="58">
        <v>0</v>
      </c>
      <c r="D17" s="59">
        <f>DATE(2026,4,1)</f>
        <v>46113</v>
      </c>
      <c r="E17" s="59">
        <f>DATE(2026,4,8)</f>
        <v>46120</v>
      </c>
      <c r="F17" s="12"/>
      <c r="G17" s="3">
        <f t="shared" si="161"/>
        <v>8</v>
      </c>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row>
    <row r="18" spans="1:196" s="38" customFormat="1" ht="30" customHeight="1" thickBot="1" x14ac:dyDescent="0.25">
      <c r="A18" s="10"/>
      <c r="B18" s="94" t="s">
        <v>33</v>
      </c>
      <c r="C18" s="58">
        <v>0</v>
      </c>
      <c r="D18" s="59">
        <f>DATE(2026,4,9)</f>
        <v>46121</v>
      </c>
      <c r="E18" s="59">
        <f>DATE(2026,4,22)</f>
        <v>46134</v>
      </c>
      <c r="F18" s="12"/>
      <c r="G18" s="3">
        <f t="shared" si="161"/>
        <v>14</v>
      </c>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1"/>
      <c r="DM18" s="41"/>
      <c r="DN18" s="41"/>
      <c r="DO18" s="41"/>
      <c r="DP18" s="41"/>
      <c r="DQ18" s="41"/>
      <c r="DR18" s="41"/>
      <c r="DS18" s="41"/>
      <c r="DT18" s="41"/>
      <c r="DU18" s="41"/>
      <c r="DV18" s="41"/>
      <c r="DW18" s="41"/>
      <c r="DX18" s="41"/>
      <c r="DY18" s="41"/>
      <c r="DZ18" s="41"/>
      <c r="EA18" s="41"/>
      <c r="EB18" s="41"/>
      <c r="EC18" s="41"/>
      <c r="ED18" s="41"/>
      <c r="EE18" s="41"/>
      <c r="EF18" s="41"/>
      <c r="EG18" s="41"/>
      <c r="EH18" s="41"/>
      <c r="EI18" s="41"/>
      <c r="EJ18" s="41"/>
      <c r="EK18" s="41"/>
      <c r="EL18" s="41"/>
      <c r="EM18" s="41"/>
      <c r="EN18" s="41"/>
      <c r="EO18" s="41"/>
      <c r="EP18" s="41"/>
      <c r="EQ18" s="41"/>
      <c r="ER18" s="41"/>
      <c r="ES18" s="41"/>
      <c r="ET18" s="41"/>
      <c r="EU18" s="41"/>
      <c r="EV18" s="41"/>
      <c r="EW18" s="41"/>
      <c r="EX18" s="41"/>
      <c r="EY18" s="41"/>
      <c r="EZ18" s="41"/>
      <c r="FA18" s="41"/>
      <c r="FB18" s="41"/>
      <c r="FC18" s="41"/>
      <c r="FD18" s="41"/>
      <c r="FE18" s="41"/>
      <c r="FF18" s="41"/>
      <c r="FG18" s="41"/>
      <c r="FH18" s="41"/>
      <c r="FI18" s="41"/>
      <c r="FJ18" s="41"/>
      <c r="FK18" s="41"/>
      <c r="FL18" s="41"/>
      <c r="FM18" s="41"/>
      <c r="FN18" s="41"/>
      <c r="FO18" s="41"/>
      <c r="FP18" s="41"/>
      <c r="FQ18" s="41"/>
      <c r="FR18" s="41"/>
      <c r="FS18" s="41"/>
      <c r="FT18" s="41"/>
      <c r="FU18" s="41"/>
      <c r="FV18" s="41"/>
      <c r="FW18" s="41"/>
      <c r="FX18" s="41"/>
      <c r="FY18" s="41"/>
      <c r="FZ18" s="41"/>
      <c r="GA18" s="41"/>
      <c r="GB18" s="41"/>
      <c r="GC18" s="41"/>
      <c r="GD18" s="41"/>
      <c r="GE18" s="41"/>
      <c r="GF18" s="41"/>
      <c r="GG18" s="41"/>
      <c r="GH18" s="41"/>
      <c r="GI18" s="41"/>
      <c r="GJ18" s="41"/>
      <c r="GK18" s="41"/>
      <c r="GL18" s="41"/>
      <c r="GM18" s="41"/>
      <c r="GN18" s="41"/>
    </row>
    <row r="19" spans="1:196" s="38" customFormat="1" ht="30" customHeight="1" thickBot="1" x14ac:dyDescent="0.25">
      <c r="A19" s="10"/>
      <c r="B19" s="57" t="s">
        <v>34</v>
      </c>
      <c r="C19" s="58">
        <v>0</v>
      </c>
      <c r="D19" s="59">
        <f>DATE(2026,4,23)</f>
        <v>46135</v>
      </c>
      <c r="E19" s="59">
        <f>DATE(2026,4,30)</f>
        <v>46142</v>
      </c>
      <c r="F19" s="12"/>
      <c r="G19" s="3">
        <f t="shared" si="161"/>
        <v>8</v>
      </c>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c r="CJ19" s="41"/>
      <c r="CK19" s="41"/>
      <c r="CL19" s="41"/>
      <c r="CM19" s="41"/>
      <c r="CN19" s="41"/>
      <c r="CO19" s="41"/>
      <c r="CP19" s="41"/>
      <c r="CQ19" s="41"/>
      <c r="CR19" s="41"/>
      <c r="CS19" s="41"/>
      <c r="CT19" s="41"/>
      <c r="CU19" s="41"/>
      <c r="CV19" s="41"/>
      <c r="CW19" s="41"/>
      <c r="CX19" s="41"/>
      <c r="CY19" s="41"/>
      <c r="CZ19" s="41"/>
      <c r="DA19" s="41"/>
      <c r="DB19" s="41"/>
      <c r="DC19" s="41"/>
      <c r="DD19" s="41"/>
      <c r="DE19" s="41"/>
      <c r="DF19" s="41"/>
      <c r="DG19" s="41"/>
      <c r="DH19" s="41"/>
      <c r="DI19" s="41"/>
      <c r="DJ19" s="41"/>
      <c r="DK19" s="41"/>
      <c r="DL19" s="41"/>
      <c r="DM19" s="41"/>
      <c r="DN19" s="41"/>
      <c r="DO19" s="41"/>
      <c r="DP19" s="41"/>
      <c r="DQ19" s="41"/>
      <c r="DR19" s="41"/>
      <c r="DS19" s="41"/>
      <c r="DT19" s="41"/>
      <c r="DU19" s="41"/>
      <c r="DV19" s="41"/>
      <c r="DW19" s="41"/>
      <c r="DX19" s="41"/>
      <c r="DY19" s="41"/>
      <c r="DZ19" s="41"/>
      <c r="EA19" s="41"/>
      <c r="EB19" s="41"/>
      <c r="EC19" s="41"/>
      <c r="ED19" s="41"/>
      <c r="EE19" s="41"/>
      <c r="EF19" s="41"/>
      <c r="EG19" s="41"/>
      <c r="EH19" s="41"/>
      <c r="EI19" s="41"/>
      <c r="EJ19" s="41"/>
      <c r="EK19" s="41"/>
      <c r="EL19" s="41"/>
      <c r="EM19" s="41"/>
      <c r="EN19" s="41"/>
      <c r="EO19" s="41"/>
      <c r="EP19" s="41"/>
      <c r="EQ19" s="41"/>
      <c r="ER19" s="41"/>
      <c r="ES19" s="41"/>
      <c r="ET19" s="41"/>
      <c r="EU19" s="41"/>
      <c r="EV19" s="41"/>
      <c r="EW19" s="41"/>
      <c r="EX19" s="41"/>
      <c r="EY19" s="41"/>
      <c r="EZ19" s="41"/>
      <c r="FA19" s="41"/>
      <c r="FB19" s="41"/>
      <c r="FC19" s="41"/>
      <c r="FD19" s="41"/>
      <c r="FE19" s="41"/>
      <c r="FF19" s="41"/>
      <c r="FG19" s="41"/>
      <c r="FH19" s="41"/>
      <c r="FI19" s="41"/>
      <c r="FJ19" s="41"/>
      <c r="FK19" s="41"/>
      <c r="FL19" s="41"/>
      <c r="FM19" s="41"/>
      <c r="FN19" s="41"/>
      <c r="FO19" s="41"/>
      <c r="FP19" s="41"/>
      <c r="FQ19" s="41"/>
      <c r="FR19" s="41"/>
      <c r="FS19" s="41"/>
      <c r="FT19" s="41"/>
      <c r="FU19" s="41"/>
      <c r="FV19" s="41"/>
      <c r="FW19" s="41"/>
      <c r="FX19" s="41"/>
      <c r="FY19" s="41"/>
      <c r="FZ19" s="41"/>
      <c r="GA19" s="41"/>
      <c r="GB19" s="41"/>
      <c r="GC19" s="41"/>
      <c r="GD19" s="41"/>
      <c r="GE19" s="41"/>
      <c r="GF19" s="41"/>
      <c r="GG19" s="41"/>
      <c r="GH19" s="41"/>
      <c r="GI19" s="41"/>
      <c r="GJ19" s="41"/>
      <c r="GK19" s="41"/>
      <c r="GL19" s="41"/>
      <c r="GM19" s="41"/>
      <c r="GN19" s="41"/>
    </row>
    <row r="20" spans="1:196" s="38" customFormat="1" ht="30" customHeight="1" thickBot="1" x14ac:dyDescent="0.25">
      <c r="A20" s="10"/>
      <c r="B20" s="60" t="s">
        <v>29</v>
      </c>
      <c r="C20" s="61"/>
      <c r="D20" s="62"/>
      <c r="E20" s="63"/>
      <c r="F20" s="12"/>
      <c r="G20" s="3" t="str">
        <f t="shared" si="161"/>
        <v/>
      </c>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c r="CT20" s="64"/>
      <c r="CU20" s="64"/>
      <c r="CV20" s="64"/>
      <c r="CW20" s="64"/>
      <c r="CX20" s="64"/>
      <c r="CY20" s="64"/>
      <c r="CZ20" s="64"/>
      <c r="DA20" s="64"/>
      <c r="DB20" s="64"/>
      <c r="DC20" s="64"/>
      <c r="DD20" s="64"/>
      <c r="DE20" s="64"/>
      <c r="DF20" s="64"/>
      <c r="DG20" s="64"/>
      <c r="DH20" s="64"/>
      <c r="DI20" s="64"/>
      <c r="DJ20" s="64"/>
      <c r="DK20" s="64"/>
      <c r="DL20" s="64"/>
      <c r="DM20" s="64"/>
      <c r="DN20" s="64"/>
      <c r="DO20" s="64"/>
      <c r="DP20" s="64"/>
      <c r="DQ20" s="64"/>
      <c r="DR20" s="64"/>
      <c r="DS20" s="64"/>
      <c r="DT20" s="64"/>
      <c r="DU20" s="64"/>
      <c r="DV20" s="64"/>
      <c r="DW20" s="64"/>
      <c r="DX20" s="64"/>
      <c r="DY20" s="64"/>
      <c r="DZ20" s="64"/>
      <c r="EA20" s="64"/>
      <c r="EB20" s="64"/>
      <c r="EC20" s="64"/>
      <c r="ED20" s="64"/>
      <c r="EE20" s="64"/>
      <c r="EF20" s="64"/>
      <c r="EG20" s="64"/>
      <c r="EH20" s="64"/>
      <c r="EI20" s="64"/>
      <c r="EJ20" s="64"/>
      <c r="EK20" s="64"/>
      <c r="EL20" s="64"/>
      <c r="EM20" s="64"/>
      <c r="EN20" s="64"/>
      <c r="EO20" s="64"/>
      <c r="EP20" s="64"/>
      <c r="EQ20" s="64"/>
      <c r="ER20" s="64"/>
      <c r="ES20" s="64"/>
      <c r="ET20" s="64"/>
      <c r="EU20" s="64"/>
      <c r="EV20" s="64"/>
      <c r="EW20" s="64"/>
      <c r="EX20" s="64"/>
      <c r="EY20" s="64"/>
      <c r="EZ20" s="64"/>
      <c r="FA20" s="64"/>
      <c r="FB20" s="64"/>
      <c r="FC20" s="64"/>
      <c r="FD20" s="64"/>
      <c r="FE20" s="64"/>
      <c r="FF20" s="64"/>
      <c r="FG20" s="64"/>
      <c r="FH20" s="64"/>
      <c r="FI20" s="64"/>
      <c r="FJ20" s="64"/>
      <c r="FK20" s="64"/>
      <c r="FL20" s="64"/>
      <c r="FM20" s="64"/>
      <c r="FN20" s="64"/>
      <c r="FO20" s="64"/>
      <c r="FP20" s="64"/>
      <c r="FQ20" s="64"/>
      <c r="FR20" s="64"/>
      <c r="FS20" s="64"/>
      <c r="FT20" s="64"/>
      <c r="FU20" s="64"/>
      <c r="FV20" s="64"/>
      <c r="FW20" s="64"/>
      <c r="FX20" s="64"/>
      <c r="FY20" s="64"/>
      <c r="FZ20" s="64"/>
      <c r="GA20" s="64"/>
      <c r="GB20" s="64"/>
      <c r="GC20" s="64"/>
      <c r="GD20" s="64"/>
      <c r="GE20" s="64"/>
      <c r="GF20" s="64"/>
      <c r="GG20" s="64"/>
      <c r="GH20" s="64"/>
      <c r="GI20" s="64"/>
      <c r="GJ20" s="64"/>
      <c r="GK20" s="64"/>
      <c r="GL20" s="64"/>
      <c r="GM20" s="64"/>
      <c r="GN20" s="64"/>
    </row>
    <row r="21" spans="1:196" s="38" customFormat="1" ht="30" customHeight="1" thickBot="1" x14ac:dyDescent="0.25">
      <c r="A21" s="10"/>
      <c r="B21" s="95" t="s">
        <v>35</v>
      </c>
      <c r="C21" s="66">
        <v>0</v>
      </c>
      <c r="D21" s="67">
        <f>DATE(2026,5,1)</f>
        <v>46143</v>
      </c>
      <c r="E21" s="67">
        <f>DATE(2026,5,15)</f>
        <v>46157</v>
      </c>
      <c r="F21" s="12"/>
      <c r="G21" s="3">
        <f t="shared" si="161"/>
        <v>15</v>
      </c>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c r="EC21" s="41"/>
      <c r="ED21" s="41"/>
      <c r="EE21" s="41"/>
      <c r="EF21" s="41"/>
      <c r="EG21" s="41"/>
      <c r="EH21" s="41"/>
      <c r="EI21" s="41"/>
      <c r="EJ21" s="41"/>
      <c r="EK21" s="41"/>
      <c r="EL21" s="41"/>
      <c r="EM21" s="41"/>
      <c r="EN21" s="41"/>
      <c r="EO21" s="41"/>
      <c r="EP21" s="41"/>
      <c r="EQ21" s="41"/>
      <c r="ER21" s="41"/>
      <c r="ES21" s="41"/>
      <c r="ET21" s="41"/>
      <c r="EU21" s="41"/>
      <c r="EV21" s="41"/>
      <c r="EW21" s="41"/>
      <c r="EX21" s="41"/>
      <c r="EY21" s="41"/>
      <c r="EZ21" s="41"/>
      <c r="FA21" s="41"/>
      <c r="FB21" s="41"/>
      <c r="FC21" s="41"/>
      <c r="FD21" s="41"/>
      <c r="FE21" s="41"/>
      <c r="FF21" s="41"/>
      <c r="FG21" s="41"/>
      <c r="FH21" s="41"/>
      <c r="FI21" s="41"/>
      <c r="FJ21" s="41"/>
      <c r="FK21" s="41"/>
      <c r="FL21" s="41"/>
      <c r="FM21" s="41"/>
      <c r="FN21" s="41"/>
      <c r="FO21" s="41"/>
      <c r="FP21" s="41"/>
      <c r="FQ21" s="41"/>
      <c r="FR21" s="41"/>
      <c r="FS21" s="41"/>
      <c r="FT21" s="41"/>
      <c r="FU21" s="41"/>
      <c r="FV21" s="41"/>
      <c r="FW21" s="41"/>
      <c r="FX21" s="41"/>
      <c r="FY21" s="41"/>
      <c r="FZ21" s="41"/>
      <c r="GA21" s="41"/>
      <c r="GB21" s="41"/>
      <c r="GC21" s="41"/>
      <c r="GD21" s="41"/>
      <c r="GE21" s="41"/>
      <c r="GF21" s="41"/>
      <c r="GG21" s="41"/>
      <c r="GH21" s="41"/>
      <c r="GI21" s="41"/>
      <c r="GJ21" s="41"/>
      <c r="GK21" s="41"/>
      <c r="GL21" s="41"/>
      <c r="GM21" s="41"/>
      <c r="GN21" s="41"/>
    </row>
    <row r="22" spans="1:196" s="38" customFormat="1" ht="30" customHeight="1" thickBot="1" x14ac:dyDescent="0.25">
      <c r="A22" s="10"/>
      <c r="B22" s="65" t="s">
        <v>36</v>
      </c>
      <c r="C22" s="66">
        <v>0</v>
      </c>
      <c r="D22" s="67">
        <f>E21</f>
        <v>46157</v>
      </c>
      <c r="E22" s="67">
        <f>DATE(2026,5,22)</f>
        <v>46164</v>
      </c>
      <c r="F22" s="12"/>
      <c r="G22" s="3">
        <f t="shared" si="161"/>
        <v>8</v>
      </c>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c r="DY22" s="41"/>
      <c r="DZ22" s="41"/>
      <c r="EA22" s="41"/>
      <c r="EB22" s="41"/>
      <c r="EC22" s="41"/>
      <c r="ED22" s="41"/>
      <c r="EE22" s="41"/>
      <c r="EF22" s="41"/>
      <c r="EG22" s="41"/>
      <c r="EH22" s="41"/>
      <c r="EI22" s="41"/>
      <c r="EJ22" s="41"/>
      <c r="EK22" s="41"/>
      <c r="EL22" s="41"/>
      <c r="EM22" s="41"/>
      <c r="EN22" s="41"/>
      <c r="EO22" s="41"/>
      <c r="EP22" s="41"/>
      <c r="EQ22" s="41"/>
      <c r="ER22" s="41"/>
      <c r="ES22" s="41"/>
      <c r="ET22" s="41"/>
      <c r="EU22" s="41"/>
      <c r="EV22" s="41"/>
      <c r="EW22" s="41"/>
      <c r="EX22" s="41"/>
      <c r="EY22" s="41"/>
      <c r="EZ22" s="41"/>
      <c r="FA22" s="41"/>
      <c r="FB22" s="41"/>
      <c r="FC22" s="41"/>
      <c r="FD22" s="41"/>
      <c r="FE22" s="41"/>
      <c r="FF22" s="41"/>
      <c r="FG22" s="41"/>
      <c r="FH22" s="41"/>
      <c r="FI22" s="41"/>
      <c r="FJ22" s="41"/>
      <c r="FK22" s="41"/>
      <c r="FL22" s="41"/>
      <c r="FM22" s="41"/>
      <c r="FN22" s="41"/>
      <c r="FO22" s="41"/>
      <c r="FP22" s="41"/>
      <c r="FQ22" s="41"/>
      <c r="FR22" s="41"/>
      <c r="FS22" s="41"/>
      <c r="FT22" s="41"/>
      <c r="FU22" s="41"/>
      <c r="FV22" s="41"/>
      <c r="FW22" s="41"/>
      <c r="FX22" s="41"/>
      <c r="FY22" s="41"/>
      <c r="FZ22" s="41"/>
      <c r="GA22" s="41"/>
      <c r="GB22" s="41"/>
      <c r="GC22" s="41"/>
      <c r="GD22" s="41"/>
      <c r="GE22" s="41"/>
      <c r="GF22" s="41"/>
      <c r="GG22" s="41"/>
      <c r="GH22" s="41"/>
      <c r="GI22" s="41"/>
      <c r="GJ22" s="41"/>
      <c r="GK22" s="41"/>
      <c r="GL22" s="41"/>
      <c r="GM22" s="41"/>
      <c r="GN22" s="41"/>
    </row>
    <row r="23" spans="1:196" s="38" customFormat="1" ht="30" customHeight="1" thickBot="1" x14ac:dyDescent="0.25">
      <c r="A23" s="10"/>
      <c r="B23" s="95" t="s">
        <v>37</v>
      </c>
      <c r="C23" s="66">
        <v>0</v>
      </c>
      <c r="D23" s="67">
        <f>E22+1</f>
        <v>46165</v>
      </c>
      <c r="E23" s="67">
        <f>DATE(2026,5,29)</f>
        <v>46171</v>
      </c>
      <c r="F23" s="12"/>
      <c r="G23" s="3">
        <f t="shared" si="161"/>
        <v>7</v>
      </c>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41"/>
      <c r="CE23" s="41"/>
      <c r="CF23" s="41"/>
      <c r="CG23" s="41"/>
      <c r="CH23" s="41"/>
      <c r="CI23" s="41"/>
      <c r="CJ23" s="41"/>
      <c r="CK23" s="41"/>
      <c r="CL23" s="41"/>
      <c r="CM23" s="41"/>
      <c r="CN23" s="41"/>
      <c r="CO23" s="41"/>
      <c r="CP23" s="41"/>
      <c r="CQ23" s="41"/>
      <c r="CR23" s="41"/>
      <c r="CS23" s="41"/>
      <c r="CT23" s="41"/>
      <c r="CU23" s="41"/>
      <c r="CV23" s="41"/>
      <c r="CW23" s="41"/>
      <c r="CX23" s="41"/>
      <c r="CY23" s="41"/>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41"/>
      <c r="EC23" s="41"/>
      <c r="ED23" s="41"/>
      <c r="EE23" s="41"/>
      <c r="EF23" s="41"/>
      <c r="EG23" s="41"/>
      <c r="EH23" s="41"/>
      <c r="EI23" s="41"/>
      <c r="EJ23" s="41"/>
      <c r="EK23" s="41"/>
      <c r="EL23" s="41"/>
      <c r="EM23" s="41"/>
      <c r="EN23" s="41"/>
      <c r="EO23" s="41"/>
      <c r="EP23" s="41"/>
      <c r="EQ23" s="41"/>
      <c r="ER23" s="41"/>
      <c r="ES23" s="41"/>
      <c r="ET23" s="41"/>
      <c r="EU23" s="41"/>
      <c r="EV23" s="41"/>
      <c r="EW23" s="41"/>
      <c r="EX23" s="41"/>
      <c r="EY23" s="41"/>
      <c r="EZ23" s="41"/>
      <c r="FA23" s="41"/>
      <c r="FB23" s="41"/>
      <c r="FC23" s="41"/>
      <c r="FD23" s="41"/>
      <c r="FE23" s="41"/>
      <c r="FF23" s="41"/>
      <c r="FG23" s="41"/>
      <c r="FH23" s="41"/>
      <c r="FI23" s="41"/>
      <c r="FJ23" s="41"/>
      <c r="FK23" s="41"/>
      <c r="FL23" s="41"/>
      <c r="FM23" s="41"/>
      <c r="FN23" s="41"/>
      <c r="FO23" s="41"/>
      <c r="FP23" s="41"/>
      <c r="FQ23" s="41"/>
      <c r="FR23" s="41"/>
      <c r="FS23" s="41"/>
      <c r="FT23" s="41"/>
      <c r="FU23" s="41"/>
      <c r="FV23" s="41"/>
      <c r="FW23" s="41"/>
      <c r="FX23" s="41"/>
      <c r="FY23" s="41"/>
      <c r="FZ23" s="41"/>
      <c r="GA23" s="41"/>
      <c r="GB23" s="41"/>
      <c r="GC23" s="41"/>
      <c r="GD23" s="41"/>
      <c r="GE23" s="41"/>
      <c r="GF23" s="41"/>
      <c r="GG23" s="41"/>
      <c r="GH23" s="41"/>
      <c r="GI23" s="41"/>
      <c r="GJ23" s="41"/>
      <c r="GK23" s="41"/>
      <c r="GL23" s="41"/>
      <c r="GM23" s="41"/>
      <c r="GN23" s="41"/>
    </row>
    <row r="24" spans="1:196" s="38" customFormat="1" ht="30" customHeight="1" thickBot="1" x14ac:dyDescent="0.25">
      <c r="A24" s="10"/>
      <c r="B24" s="80" t="s">
        <v>30</v>
      </c>
      <c r="C24" s="81"/>
      <c r="D24" s="82"/>
      <c r="E24" s="83"/>
      <c r="F24" s="12"/>
      <c r="G24" s="3" t="str">
        <f t="shared" si="161"/>
        <v/>
      </c>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c r="CT24" s="64"/>
      <c r="CU24" s="64"/>
      <c r="CV24" s="64"/>
      <c r="CW24" s="64"/>
      <c r="CX24" s="64"/>
      <c r="CY24" s="64"/>
      <c r="CZ24" s="64"/>
      <c r="DA24" s="64"/>
      <c r="DB24" s="64"/>
      <c r="DC24" s="64"/>
      <c r="DD24" s="64"/>
      <c r="DE24" s="64"/>
      <c r="DF24" s="64"/>
      <c r="DG24" s="64"/>
      <c r="DH24" s="64"/>
      <c r="DI24" s="64"/>
      <c r="DJ24" s="64"/>
      <c r="DK24" s="64"/>
      <c r="DL24" s="64"/>
      <c r="DM24" s="64"/>
      <c r="DN24" s="64"/>
      <c r="DO24" s="64"/>
      <c r="DP24" s="64"/>
      <c r="DQ24" s="64"/>
      <c r="DR24" s="64"/>
      <c r="DS24" s="64"/>
      <c r="DT24" s="64"/>
      <c r="DU24" s="64"/>
      <c r="DV24" s="64"/>
      <c r="DW24" s="64"/>
      <c r="DX24" s="64"/>
      <c r="DY24" s="64"/>
      <c r="DZ24" s="64"/>
      <c r="EA24" s="64"/>
      <c r="EB24" s="64"/>
      <c r="EC24" s="64"/>
      <c r="ED24" s="64"/>
      <c r="EE24" s="64"/>
      <c r="EF24" s="64"/>
      <c r="EG24" s="64"/>
      <c r="EH24" s="64"/>
      <c r="EI24" s="64"/>
      <c r="EJ24" s="64"/>
      <c r="EK24" s="64"/>
      <c r="EL24" s="64"/>
      <c r="EM24" s="64"/>
      <c r="EN24" s="64"/>
      <c r="EO24" s="64"/>
      <c r="EP24" s="64"/>
      <c r="EQ24" s="64"/>
      <c r="ER24" s="64"/>
      <c r="ES24" s="64"/>
      <c r="ET24" s="64"/>
      <c r="EU24" s="64"/>
      <c r="EV24" s="64"/>
      <c r="EW24" s="64"/>
      <c r="EX24" s="64"/>
      <c r="EY24" s="64"/>
      <c r="EZ24" s="64"/>
      <c r="FA24" s="64"/>
      <c r="FB24" s="64"/>
      <c r="FC24" s="64"/>
      <c r="FD24" s="64"/>
      <c r="FE24" s="64"/>
      <c r="FF24" s="64"/>
      <c r="FG24" s="64"/>
      <c r="FH24" s="64"/>
      <c r="FI24" s="64"/>
      <c r="FJ24" s="64"/>
      <c r="FK24" s="64"/>
      <c r="FL24" s="64"/>
      <c r="FM24" s="64"/>
      <c r="FN24" s="64"/>
      <c r="FO24" s="64"/>
      <c r="FP24" s="64"/>
      <c r="FQ24" s="64"/>
      <c r="FR24" s="64"/>
      <c r="FS24" s="64"/>
      <c r="FT24" s="64"/>
      <c r="FU24" s="64"/>
      <c r="FV24" s="64"/>
      <c r="FW24" s="64"/>
      <c r="FX24" s="64"/>
      <c r="FY24" s="64"/>
      <c r="FZ24" s="64"/>
      <c r="GA24" s="64"/>
      <c r="GB24" s="64"/>
      <c r="GC24" s="64"/>
      <c r="GD24" s="64"/>
      <c r="GE24" s="64"/>
      <c r="GF24" s="64"/>
      <c r="GG24" s="64"/>
      <c r="GH24" s="64"/>
      <c r="GI24" s="64"/>
      <c r="GJ24" s="64"/>
      <c r="GK24" s="64"/>
      <c r="GL24" s="64"/>
      <c r="GM24" s="64"/>
      <c r="GN24" s="64"/>
    </row>
    <row r="25" spans="1:196" s="38" customFormat="1" ht="30" customHeight="1" thickBot="1" x14ac:dyDescent="0.25">
      <c r="A25" s="10"/>
      <c r="B25" s="84" t="s">
        <v>38</v>
      </c>
      <c r="C25" s="85">
        <v>0</v>
      </c>
      <c r="D25" s="86">
        <f>DATE(2026,6,1)</f>
        <v>46174</v>
      </c>
      <c r="E25" s="86">
        <f>DATE(2026,6,5)</f>
        <v>46178</v>
      </c>
      <c r="F25" s="12"/>
      <c r="G25" s="3">
        <f t="shared" si="161"/>
        <v>5</v>
      </c>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98"/>
      <c r="CM25" s="98"/>
      <c r="CN25" s="98"/>
      <c r="CO25" s="98"/>
      <c r="CP25" s="41"/>
      <c r="CQ25" s="41"/>
      <c r="CR25" s="41"/>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c r="DY25" s="41"/>
      <c r="DZ25" s="41"/>
      <c r="EA25" s="41"/>
      <c r="EB25" s="41"/>
      <c r="EC25" s="41"/>
      <c r="ED25" s="41"/>
      <c r="EE25" s="41"/>
      <c r="EF25" s="41"/>
      <c r="EG25" s="41"/>
      <c r="EH25" s="41"/>
      <c r="EI25" s="41"/>
      <c r="EJ25" s="41"/>
      <c r="EK25" s="41"/>
      <c r="EL25" s="41"/>
      <c r="EM25" s="41"/>
      <c r="EN25" s="41"/>
      <c r="EO25" s="41"/>
      <c r="EP25" s="41"/>
      <c r="EQ25" s="41"/>
      <c r="ER25" s="41"/>
      <c r="ES25" s="41"/>
      <c r="ET25" s="41"/>
      <c r="EU25" s="41"/>
      <c r="EV25" s="41"/>
      <c r="EW25" s="41"/>
      <c r="EX25" s="41"/>
      <c r="EY25" s="41"/>
      <c r="EZ25" s="41"/>
      <c r="FA25" s="41"/>
      <c r="FB25" s="41"/>
      <c r="FC25" s="41"/>
      <c r="FD25" s="41"/>
      <c r="FE25" s="41"/>
      <c r="FF25" s="41"/>
      <c r="FG25" s="41"/>
      <c r="FH25" s="41"/>
      <c r="FI25" s="41"/>
      <c r="FJ25" s="41"/>
      <c r="FK25" s="41"/>
      <c r="FL25" s="41"/>
      <c r="FM25" s="41"/>
      <c r="FN25" s="41"/>
      <c r="FO25" s="41"/>
      <c r="FP25" s="41"/>
      <c r="FQ25" s="41"/>
      <c r="FR25" s="41"/>
      <c r="FS25" s="41"/>
      <c r="FT25" s="41"/>
      <c r="FU25" s="41"/>
      <c r="FV25" s="41"/>
      <c r="FW25" s="41"/>
      <c r="FX25" s="41"/>
      <c r="FY25" s="41"/>
      <c r="FZ25" s="41"/>
      <c r="GA25" s="41"/>
      <c r="GB25" s="41"/>
      <c r="GC25" s="41"/>
      <c r="GD25" s="41"/>
      <c r="GE25" s="41"/>
      <c r="GF25" s="41"/>
      <c r="GG25" s="41"/>
      <c r="GH25" s="41"/>
      <c r="GI25" s="41"/>
      <c r="GJ25" s="41"/>
      <c r="GK25" s="41"/>
      <c r="GL25" s="41"/>
      <c r="GM25" s="41"/>
      <c r="GN25" s="41"/>
    </row>
    <row r="26" spans="1:196" s="38" customFormat="1" ht="30" customHeight="1" thickBot="1" x14ac:dyDescent="0.25">
      <c r="A26" s="10"/>
      <c r="B26" s="96" t="s">
        <v>39</v>
      </c>
      <c r="C26" s="85">
        <v>0</v>
      </c>
      <c r="D26" s="86">
        <f>DATE(2026,6,8)</f>
        <v>46181</v>
      </c>
      <c r="E26" s="86">
        <f>DATE(2026,6,12)</f>
        <v>46185</v>
      </c>
      <c r="F26" s="12"/>
      <c r="G26" s="3">
        <f t="shared" si="161"/>
        <v>5</v>
      </c>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c r="CV26" s="41"/>
      <c r="CW26" s="41"/>
      <c r="CX26" s="41"/>
      <c r="CY26" s="41"/>
      <c r="CZ26" s="41"/>
      <c r="DA26" s="41"/>
      <c r="DB26" s="41"/>
      <c r="DC26" s="41"/>
      <c r="DD26" s="41"/>
      <c r="DE26" s="41"/>
      <c r="DF26" s="41"/>
      <c r="DG26" s="41"/>
      <c r="DH26" s="41"/>
      <c r="DI26" s="41"/>
      <c r="DJ26" s="41"/>
      <c r="DK26" s="41"/>
      <c r="DL26" s="41"/>
      <c r="DM26" s="41"/>
      <c r="DN26" s="41"/>
      <c r="DO26" s="41"/>
      <c r="DP26" s="41"/>
      <c r="DQ26" s="41"/>
      <c r="DR26" s="41"/>
      <c r="DS26" s="41"/>
      <c r="DT26" s="41"/>
      <c r="DU26" s="41"/>
      <c r="DV26" s="41"/>
      <c r="DW26" s="41"/>
      <c r="DX26" s="41"/>
      <c r="DY26" s="41"/>
      <c r="DZ26" s="41"/>
      <c r="EA26" s="41"/>
      <c r="EB26" s="41"/>
      <c r="EC26" s="41"/>
      <c r="ED26" s="41"/>
      <c r="EE26" s="41"/>
      <c r="EF26" s="41"/>
      <c r="EG26" s="41"/>
      <c r="EH26" s="41"/>
      <c r="EI26" s="41"/>
      <c r="EJ26" s="41"/>
      <c r="EK26" s="41"/>
      <c r="EL26" s="41"/>
      <c r="EM26" s="41"/>
      <c r="EN26" s="41"/>
      <c r="EO26" s="41"/>
      <c r="EP26" s="41"/>
      <c r="EQ26" s="41"/>
      <c r="ER26" s="41"/>
      <c r="ES26" s="41"/>
      <c r="ET26" s="41"/>
      <c r="EU26" s="41"/>
      <c r="EV26" s="41"/>
      <c r="EW26" s="41"/>
      <c r="EX26" s="41"/>
      <c r="EY26" s="41"/>
      <c r="EZ26" s="41"/>
      <c r="FA26" s="41"/>
      <c r="FB26" s="41"/>
      <c r="FC26" s="41"/>
      <c r="FD26" s="41"/>
      <c r="FE26" s="41"/>
      <c r="FF26" s="41"/>
      <c r="FG26" s="41"/>
      <c r="FH26" s="41"/>
      <c r="FI26" s="41"/>
      <c r="FJ26" s="41"/>
      <c r="FK26" s="41"/>
      <c r="FL26" s="41"/>
      <c r="FM26" s="41"/>
      <c r="FN26" s="41"/>
      <c r="FO26" s="41"/>
      <c r="FP26" s="41"/>
      <c r="FQ26" s="41"/>
      <c r="FR26" s="41"/>
      <c r="FS26" s="41"/>
      <c r="FT26" s="41"/>
      <c r="FU26" s="41"/>
      <c r="FV26" s="41"/>
      <c r="FW26" s="41"/>
      <c r="FX26" s="41"/>
      <c r="FY26" s="41"/>
      <c r="FZ26" s="41"/>
      <c r="GA26" s="41"/>
      <c r="GB26" s="41"/>
      <c r="GC26" s="41"/>
      <c r="GD26" s="41"/>
      <c r="GE26" s="41"/>
      <c r="GF26" s="41"/>
      <c r="GG26" s="41"/>
      <c r="GH26" s="41"/>
      <c r="GI26" s="41"/>
      <c r="GJ26" s="41"/>
      <c r="GK26" s="41"/>
      <c r="GL26" s="41"/>
      <c r="GM26" s="41"/>
      <c r="GN26" s="41"/>
    </row>
    <row r="27" spans="1:196" s="38" customFormat="1" ht="30" customHeight="1" thickBot="1" x14ac:dyDescent="0.25">
      <c r="A27" s="10"/>
      <c r="B27" s="84" t="s">
        <v>43</v>
      </c>
      <c r="C27" s="85">
        <v>0</v>
      </c>
      <c r="D27" s="86">
        <f>DATE(2026,6,15)</f>
        <v>46188</v>
      </c>
      <c r="E27" s="86">
        <f>DATE(2026,6,19)</f>
        <v>46192</v>
      </c>
      <c r="F27" s="12"/>
      <c r="G27" s="3">
        <f t="shared" si="161"/>
        <v>5</v>
      </c>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c r="DY27" s="41"/>
      <c r="DZ27" s="41"/>
      <c r="EA27" s="41"/>
      <c r="EB27" s="41"/>
      <c r="EC27" s="41"/>
      <c r="ED27" s="41"/>
      <c r="EE27" s="41"/>
      <c r="EF27" s="41"/>
      <c r="EG27" s="41"/>
      <c r="EH27" s="41"/>
      <c r="EI27" s="41"/>
      <c r="EJ27" s="41"/>
      <c r="EK27" s="41"/>
      <c r="EL27" s="41"/>
      <c r="EM27" s="41"/>
      <c r="EN27" s="41"/>
      <c r="EO27" s="41"/>
      <c r="EP27" s="41"/>
      <c r="EQ27" s="41"/>
      <c r="ER27" s="41"/>
      <c r="ES27" s="41"/>
      <c r="ET27" s="41"/>
      <c r="EU27" s="41"/>
      <c r="EV27" s="41"/>
      <c r="EW27" s="41"/>
      <c r="EX27" s="41"/>
      <c r="EY27" s="41"/>
      <c r="EZ27" s="41"/>
      <c r="FA27" s="41"/>
      <c r="FB27" s="41"/>
      <c r="FC27" s="41"/>
      <c r="FD27" s="41"/>
      <c r="FE27" s="41"/>
      <c r="FF27" s="41"/>
      <c r="FG27" s="41"/>
      <c r="FH27" s="41"/>
      <c r="FI27" s="41"/>
      <c r="FJ27" s="41"/>
      <c r="FK27" s="41"/>
      <c r="FL27" s="41"/>
      <c r="FM27" s="41"/>
      <c r="FN27" s="41"/>
      <c r="FO27" s="41"/>
      <c r="FP27" s="41"/>
      <c r="FQ27" s="41"/>
      <c r="FR27" s="41"/>
      <c r="FS27" s="41"/>
      <c r="FT27" s="41"/>
      <c r="FU27" s="41"/>
      <c r="FV27" s="41"/>
      <c r="FW27" s="41"/>
      <c r="FX27" s="41"/>
      <c r="FY27" s="41"/>
      <c r="FZ27" s="41"/>
      <c r="GA27" s="41"/>
      <c r="GB27" s="41"/>
      <c r="GC27" s="41"/>
      <c r="GD27" s="41"/>
      <c r="GE27" s="41"/>
      <c r="GF27" s="41"/>
      <c r="GG27" s="41"/>
      <c r="GH27" s="41"/>
      <c r="GI27" s="41"/>
      <c r="GJ27" s="41"/>
      <c r="GK27" s="41"/>
      <c r="GL27" s="41"/>
      <c r="GM27" s="41"/>
      <c r="GN27" s="41"/>
    </row>
    <row r="28" spans="1:196" s="38" customFormat="1" ht="30" customHeight="1" thickBot="1" x14ac:dyDescent="0.25">
      <c r="A28" s="10"/>
      <c r="B28" s="87" t="s">
        <v>31</v>
      </c>
      <c r="C28" s="88"/>
      <c r="D28" s="89"/>
      <c r="E28" s="90"/>
      <c r="F28" s="12"/>
      <c r="G28" s="3" t="str">
        <f t="shared" si="161"/>
        <v/>
      </c>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64"/>
      <c r="CT28" s="64"/>
      <c r="CU28" s="64"/>
      <c r="CV28" s="64"/>
      <c r="CW28" s="64"/>
      <c r="CX28" s="64"/>
      <c r="CY28" s="64"/>
      <c r="CZ28" s="64"/>
      <c r="DA28" s="64"/>
      <c r="DB28" s="64"/>
      <c r="DC28" s="64"/>
      <c r="DD28" s="64"/>
      <c r="DE28" s="64"/>
      <c r="DF28" s="64"/>
      <c r="DG28" s="64"/>
      <c r="DH28" s="64"/>
      <c r="DI28" s="64"/>
      <c r="DJ28" s="64"/>
      <c r="DK28" s="64"/>
      <c r="DL28" s="64"/>
      <c r="DM28" s="64"/>
      <c r="DN28" s="64"/>
      <c r="DO28" s="64"/>
      <c r="DP28" s="64"/>
      <c r="DQ28" s="64"/>
      <c r="DR28" s="64"/>
      <c r="DS28" s="64"/>
      <c r="DT28" s="64"/>
      <c r="DU28" s="64"/>
      <c r="DV28" s="64"/>
      <c r="DW28" s="64"/>
      <c r="DX28" s="64"/>
      <c r="DY28" s="64"/>
      <c r="DZ28" s="64"/>
      <c r="EA28" s="64"/>
      <c r="EB28" s="64"/>
      <c r="EC28" s="64"/>
      <c r="ED28" s="64"/>
      <c r="EE28" s="64"/>
      <c r="EF28" s="64"/>
      <c r="EG28" s="64"/>
      <c r="EH28" s="64"/>
      <c r="EI28" s="64"/>
      <c r="EJ28" s="64"/>
      <c r="EK28" s="64"/>
      <c r="EL28" s="64"/>
      <c r="EM28" s="64"/>
      <c r="EN28" s="64"/>
      <c r="EO28" s="64"/>
      <c r="EP28" s="64"/>
      <c r="EQ28" s="64"/>
      <c r="ER28" s="64"/>
      <c r="ES28" s="64"/>
      <c r="ET28" s="64"/>
      <c r="EU28" s="64"/>
      <c r="EV28" s="64"/>
      <c r="EW28" s="64"/>
      <c r="EX28" s="64"/>
      <c r="EY28" s="64"/>
      <c r="EZ28" s="64"/>
      <c r="FA28" s="64"/>
      <c r="FB28" s="64"/>
      <c r="FC28" s="64"/>
      <c r="FD28" s="64"/>
      <c r="FE28" s="64"/>
      <c r="FF28" s="64"/>
      <c r="FG28" s="64"/>
      <c r="FH28" s="64"/>
      <c r="FI28" s="64"/>
      <c r="FJ28" s="64"/>
      <c r="FK28" s="64"/>
      <c r="FL28" s="64"/>
      <c r="FM28" s="64"/>
      <c r="FN28" s="64"/>
      <c r="FO28" s="64"/>
      <c r="FP28" s="64"/>
      <c r="FQ28" s="64"/>
      <c r="FR28" s="64"/>
      <c r="FS28" s="64"/>
      <c r="FT28" s="64"/>
      <c r="FU28" s="64"/>
      <c r="FV28" s="64"/>
      <c r="FW28" s="64"/>
      <c r="FX28" s="64"/>
      <c r="FY28" s="64"/>
      <c r="FZ28" s="64"/>
      <c r="GA28" s="64"/>
      <c r="GB28" s="64"/>
      <c r="GC28" s="64"/>
      <c r="GD28" s="64"/>
      <c r="GE28" s="64"/>
      <c r="GF28" s="64"/>
      <c r="GG28" s="64"/>
      <c r="GH28" s="64"/>
      <c r="GI28" s="64"/>
      <c r="GJ28" s="64"/>
      <c r="GK28" s="64"/>
      <c r="GL28" s="64"/>
      <c r="GM28" s="64"/>
      <c r="GN28" s="64"/>
    </row>
    <row r="29" spans="1:196" s="38" customFormat="1" ht="30" customHeight="1" thickBot="1" x14ac:dyDescent="0.25">
      <c r="A29" s="10"/>
      <c r="B29" s="91" t="s">
        <v>40</v>
      </c>
      <c r="C29" s="92">
        <v>0</v>
      </c>
      <c r="D29" s="93">
        <f>DATE(2026,7,1)</f>
        <v>46204</v>
      </c>
      <c r="E29" s="93">
        <f>DATE(2026,7,10)</f>
        <v>46213</v>
      </c>
      <c r="F29" s="12"/>
      <c r="G29" s="3">
        <f t="shared" si="161"/>
        <v>10</v>
      </c>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41"/>
      <c r="DX29" s="41"/>
      <c r="DY29" s="41"/>
      <c r="DZ29" s="41"/>
      <c r="EA29" s="41"/>
      <c r="EB29" s="41"/>
      <c r="EC29" s="41"/>
      <c r="ED29" s="41"/>
      <c r="EE29" s="41"/>
      <c r="EF29" s="41"/>
      <c r="EG29" s="41"/>
      <c r="EH29" s="41"/>
      <c r="EI29" s="41"/>
      <c r="EJ29" s="41"/>
      <c r="EK29" s="41"/>
      <c r="EL29" s="41"/>
      <c r="EM29" s="41"/>
      <c r="EN29" s="41"/>
      <c r="EO29" s="41"/>
      <c r="EP29" s="41"/>
      <c r="EQ29" s="41"/>
      <c r="ER29" s="41"/>
      <c r="ES29" s="41"/>
      <c r="ET29" s="41"/>
      <c r="EU29" s="41"/>
      <c r="EV29" s="41"/>
      <c r="EW29" s="41"/>
      <c r="EX29" s="41"/>
      <c r="EY29" s="41"/>
      <c r="EZ29" s="41"/>
      <c r="FA29" s="41"/>
      <c r="FB29" s="41"/>
      <c r="FC29" s="41"/>
      <c r="FD29" s="41"/>
      <c r="FE29" s="41"/>
      <c r="FF29" s="41"/>
      <c r="FG29" s="41"/>
      <c r="FH29" s="41"/>
      <c r="FI29" s="41"/>
      <c r="FJ29" s="41"/>
      <c r="FK29" s="41"/>
      <c r="FL29" s="41"/>
      <c r="FM29" s="41"/>
      <c r="FN29" s="41"/>
      <c r="FO29" s="41"/>
      <c r="FP29" s="41"/>
      <c r="FQ29" s="41"/>
      <c r="FR29" s="41"/>
      <c r="FS29" s="41"/>
      <c r="FT29" s="41"/>
      <c r="FU29" s="41"/>
      <c r="FV29" s="41"/>
      <c r="FW29" s="41"/>
      <c r="FX29" s="41"/>
      <c r="FY29" s="41"/>
      <c r="FZ29" s="41"/>
      <c r="GA29" s="41"/>
      <c r="GB29" s="41"/>
      <c r="GC29" s="41"/>
      <c r="GD29" s="41"/>
      <c r="GE29" s="41"/>
      <c r="GF29" s="41"/>
      <c r="GG29" s="41"/>
      <c r="GH29" s="41"/>
      <c r="GI29" s="41"/>
      <c r="GJ29" s="41"/>
      <c r="GK29" s="41"/>
      <c r="GL29" s="41"/>
      <c r="GM29" s="41"/>
      <c r="GN29" s="41"/>
    </row>
    <row r="30" spans="1:196" s="38" customFormat="1" ht="30" customHeight="1" thickBot="1" x14ac:dyDescent="0.25">
      <c r="A30" s="10"/>
      <c r="B30" s="97" t="s">
        <v>41</v>
      </c>
      <c r="C30" s="92">
        <v>0</v>
      </c>
      <c r="D30" s="93">
        <f>DATE(2026,7,13)</f>
        <v>46216</v>
      </c>
      <c r="E30" s="93">
        <f>DATE(2026,7,31)</f>
        <v>46234</v>
      </c>
      <c r="F30" s="12"/>
      <c r="G30" s="3">
        <f t="shared" si="161"/>
        <v>19</v>
      </c>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41"/>
      <c r="DX30" s="41"/>
      <c r="DY30" s="41"/>
      <c r="DZ30" s="41"/>
      <c r="EA30" s="41"/>
      <c r="EB30" s="41"/>
      <c r="EC30" s="41"/>
      <c r="ED30" s="41"/>
      <c r="EE30" s="41"/>
      <c r="EF30" s="41"/>
      <c r="EG30" s="41"/>
      <c r="EH30" s="41"/>
      <c r="EI30" s="41"/>
      <c r="EJ30" s="41"/>
      <c r="EK30" s="41"/>
      <c r="EL30" s="41"/>
      <c r="EM30" s="41"/>
      <c r="EN30" s="41"/>
      <c r="EO30" s="41"/>
      <c r="EP30" s="41"/>
      <c r="EQ30" s="41"/>
      <c r="ER30" s="41"/>
      <c r="ES30" s="41"/>
      <c r="ET30" s="41"/>
      <c r="EU30" s="41"/>
      <c r="EV30" s="41"/>
      <c r="EW30" s="41"/>
      <c r="EX30" s="41"/>
      <c r="EY30" s="41"/>
      <c r="EZ30" s="41"/>
      <c r="FA30" s="41"/>
      <c r="FB30" s="41"/>
      <c r="FC30" s="41"/>
      <c r="FD30" s="41"/>
      <c r="FE30" s="41"/>
      <c r="FF30" s="41"/>
      <c r="FG30" s="41"/>
      <c r="FH30" s="41"/>
      <c r="FI30" s="41"/>
      <c r="FJ30" s="41"/>
      <c r="FK30" s="41"/>
      <c r="FL30" s="41"/>
      <c r="FM30" s="41"/>
      <c r="FN30" s="41"/>
      <c r="FO30" s="41"/>
      <c r="FP30" s="41"/>
      <c r="FQ30" s="41"/>
      <c r="FR30" s="41"/>
      <c r="FS30" s="41"/>
      <c r="FT30" s="41"/>
      <c r="FU30" s="41"/>
      <c r="FV30" s="41"/>
      <c r="FW30" s="41"/>
      <c r="FX30" s="41"/>
      <c r="FY30" s="41"/>
      <c r="FZ30" s="41"/>
      <c r="GA30" s="41"/>
      <c r="GB30" s="41"/>
      <c r="GC30" s="41"/>
      <c r="GD30" s="41"/>
      <c r="GE30" s="41"/>
      <c r="GF30" s="41"/>
      <c r="GG30" s="41"/>
      <c r="GH30" s="41"/>
      <c r="GI30" s="41"/>
      <c r="GJ30" s="41"/>
      <c r="GK30" s="41"/>
      <c r="GL30" s="41"/>
      <c r="GM30" s="41"/>
      <c r="GN30" s="41"/>
    </row>
    <row r="31" spans="1:196" s="38" customFormat="1" ht="30" customHeight="1" thickBot="1" x14ac:dyDescent="0.25">
      <c r="A31" s="10"/>
      <c r="B31" s="97" t="s">
        <v>42</v>
      </c>
      <c r="C31" s="92">
        <v>0</v>
      </c>
      <c r="D31" s="93">
        <f>DATE(2026,7,22)</f>
        <v>46225</v>
      </c>
      <c r="E31" s="93">
        <f>DATE(2026,8,9)</f>
        <v>46243</v>
      </c>
      <c r="F31" s="12"/>
      <c r="G31" s="3">
        <f t="shared" si="161"/>
        <v>19</v>
      </c>
      <c r="H31" s="41"/>
      <c r="I31" s="41"/>
      <c r="J31" s="41"/>
      <c r="K31" s="41"/>
      <c r="L31" s="41"/>
      <c r="M31" s="41"/>
      <c r="N31" s="41"/>
      <c r="O31" s="41"/>
      <c r="P31" s="41"/>
      <c r="Q31" s="41"/>
      <c r="R31" s="41"/>
      <c r="S31" s="41"/>
      <c r="T3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41"/>
      <c r="EC31" s="41"/>
      <c r="ED31" s="41"/>
      <c r="EE31" s="41"/>
      <c r="EF31" s="41"/>
      <c r="EG31" s="41"/>
      <c r="EH31" s="41"/>
      <c r="EI31" s="41"/>
      <c r="EJ31" s="41"/>
      <c r="EK31" s="41"/>
      <c r="EL31" s="41"/>
      <c r="EM31" s="41"/>
      <c r="EN31" s="41"/>
      <c r="EO31" s="41"/>
      <c r="EP31" s="41"/>
      <c r="EQ31" s="41"/>
      <c r="ER31" s="41"/>
      <c r="ES31" s="41"/>
      <c r="ET31" s="41"/>
      <c r="EU31" s="41"/>
      <c r="EV31" s="41"/>
      <c r="EW31" s="41"/>
      <c r="EX31" s="41"/>
      <c r="EY31" s="41"/>
      <c r="EZ31" s="41"/>
      <c r="FA31" s="41"/>
      <c r="FB31" s="41"/>
      <c r="FC31" s="41"/>
      <c r="FD31" s="41"/>
      <c r="FE31" s="41"/>
      <c r="FF31" s="41"/>
      <c r="FG31" s="41"/>
      <c r="FH31" s="41"/>
      <c r="FI31" s="41"/>
      <c r="FJ31" s="41"/>
      <c r="FK31" s="41"/>
      <c r="FL31" s="41"/>
      <c r="FM31" s="41"/>
      <c r="FN31" s="41"/>
      <c r="FO31" s="41"/>
      <c r="FP31" s="41"/>
      <c r="FQ31" s="41"/>
      <c r="FR31" s="41"/>
      <c r="FS31" s="41"/>
      <c r="FT31" s="41"/>
      <c r="FU31" s="41"/>
      <c r="FV31" s="41"/>
      <c r="FW31" s="41"/>
      <c r="FX31" s="41"/>
      <c r="FY31" s="41"/>
      <c r="FZ31" s="41"/>
      <c r="GA31" s="41"/>
      <c r="GB31" s="41"/>
      <c r="GC31" s="41"/>
      <c r="GD31" s="41"/>
      <c r="GE31" s="41"/>
      <c r="GF31" s="41"/>
      <c r="GG31" s="41"/>
      <c r="GH31" s="41"/>
      <c r="GI31" s="41"/>
      <c r="GJ31" s="41"/>
      <c r="GK31" s="41"/>
      <c r="GL31" s="41"/>
      <c r="GM31" s="41"/>
      <c r="GN31" s="41"/>
    </row>
    <row r="50" spans="152:152" ht="30" customHeight="1" x14ac:dyDescent="0.2">
      <c r="EV50" t="s">
        <v>46</v>
      </c>
    </row>
  </sheetData>
  <mergeCells count="38">
    <mergeCell ref="GA4:GG4"/>
    <mergeCell ref="GH4:GN4"/>
    <mergeCell ref="ER4:EX4"/>
    <mergeCell ref="EY4:FE4"/>
    <mergeCell ref="FF4:FL4"/>
    <mergeCell ref="FM4:FS4"/>
    <mergeCell ref="FT4:FZ4"/>
    <mergeCell ref="DI4:DO4"/>
    <mergeCell ref="DP4:DV4"/>
    <mergeCell ref="DW4:EC4"/>
    <mergeCell ref="ED4:EJ4"/>
    <mergeCell ref="EK4:EQ4"/>
    <mergeCell ref="BZ4:CF4"/>
    <mergeCell ref="CG4:CM4"/>
    <mergeCell ref="CN4:CT4"/>
    <mergeCell ref="CU4:DA4"/>
    <mergeCell ref="DB4:DH4"/>
    <mergeCell ref="V4:AB4"/>
    <mergeCell ref="AC4:AI4"/>
    <mergeCell ref="AJ4:AP4"/>
    <mergeCell ref="AQ4:AW4"/>
    <mergeCell ref="AX4:BD4"/>
    <mergeCell ref="AJ1:AS1"/>
    <mergeCell ref="BL4:BR4"/>
    <mergeCell ref="BS4:BY4"/>
    <mergeCell ref="A5:A6"/>
    <mergeCell ref="B5:B6"/>
    <mergeCell ref="C5:C6"/>
    <mergeCell ref="D5:D6"/>
    <mergeCell ref="AC1:AI1"/>
    <mergeCell ref="E5:E6"/>
    <mergeCell ref="P2:Y2"/>
    <mergeCell ref="P1:Y1"/>
    <mergeCell ref="H1:N1"/>
    <mergeCell ref="H2:N2"/>
    <mergeCell ref="BE4:BK4"/>
    <mergeCell ref="H4:N4"/>
    <mergeCell ref="O4:U4"/>
  </mergeCells>
  <conditionalFormatting sqref="C7:C31">
    <cfRule type="dataBar" priority="29">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BK23 BL13:GN23 H28:GN30 H31:S31 U31:GN31">
    <cfRule type="expression" dxfId="41" priority="1">
      <formula>AND(TODAY()&gt;=H$5, TODAY()&lt;I$5)</formula>
    </cfRule>
  </conditionalFormatting>
  <conditionalFormatting sqref="H9:BL9 BN9:GN9 H10:GN11">
    <cfRule type="expression" dxfId="40" priority="12">
      <formula>AND(task_start&lt;=H$5,ROUNDDOWN((task_end-task_start+1)*task_progress,0)+task_start-1&gt;=H$5)</formula>
    </cfRule>
    <cfRule type="expression" dxfId="39" priority="13" stopIfTrue="1">
      <formula>AND(task_end&gt;=H$5,task_start&lt;I$5)</formula>
    </cfRule>
  </conditionalFormatting>
  <conditionalFormatting sqref="H13:GN15">
    <cfRule type="expression" dxfId="38" priority="10">
      <formula>AND(task_start&lt;=H$5,ROUNDDOWN((task_end-task_start+1)*task_progress,0)+task_start-1&gt;=H$5)</formula>
    </cfRule>
    <cfRule type="expression" dxfId="37" priority="11" stopIfTrue="1">
      <formula>AND(task_end&gt;=H$5,task_start&lt;I$5)</formula>
    </cfRule>
  </conditionalFormatting>
  <conditionalFormatting sqref="H17:GN19">
    <cfRule type="expression" dxfId="36" priority="8">
      <formula>AND(task_start&lt;=H$5,ROUNDDOWN((task_end-task_start+1)*task_progress,0)+task_start-1&gt;=H$5)</formula>
    </cfRule>
    <cfRule type="expression" dxfId="35" priority="9" stopIfTrue="1">
      <formula>AND(task_end&gt;=H$5,task_start&lt;I$5)</formula>
    </cfRule>
  </conditionalFormatting>
  <conditionalFormatting sqref="H21:GN23">
    <cfRule type="expression" dxfId="34" priority="42">
      <formula>AND(task_start&lt;=H$5,ROUNDDOWN((task_end-task_start+1)*task_progress,0)+task_start-1&gt;=H$5)</formula>
    </cfRule>
    <cfRule type="expression" dxfId="33" priority="43" stopIfTrue="1">
      <formula>AND(task_end&gt;=H$5,task_start&lt;I$5)</formula>
    </cfRule>
  </conditionalFormatting>
  <conditionalFormatting sqref="H29:GN30 H31:S31 U31:GN31">
    <cfRule type="expression" dxfId="32" priority="2">
      <formula>AND(task_start&lt;=H$5,ROUNDDOWN((task_end-task_start+1)*task_progress,0)+task_start-1&gt;=H$5)</formula>
    </cfRule>
    <cfRule type="expression" dxfId="31" priority="3" stopIfTrue="1">
      <formula>AND(task_end&gt;=H$5,task_start&lt;I$5)</formula>
    </cfRule>
  </conditionalFormatting>
  <conditionalFormatting sqref="BP12">
    <cfRule type="expression" dxfId="30" priority="54">
      <formula>AND(task_start&lt;=BM$5,ROUNDDOWN((task_end-task_start+1)*task_progress,0)+task_start-1&gt;=BM$5)</formula>
    </cfRule>
    <cfRule type="expression" dxfId="29" priority="55" stopIfTrue="1">
      <formula>AND(task_end&gt;=BM$5,task_start&lt;BN$5)</formula>
    </cfRule>
    <cfRule type="expression" dxfId="28" priority="57">
      <formula>AND(TODAY()&gt;=BM$5, TODAY()&lt;BN$5)</formula>
    </cfRule>
  </conditionalFormatting>
  <conditionalFormatting sqref="CB25">
    <cfRule type="expression" dxfId="27" priority="48">
      <formula>AND(task_start&lt;=CA$5,ROUNDDOWN((task_end-task_start+1)*task_progress,0)+task_start-1&gt;=CA$5)</formula>
    </cfRule>
    <cfRule type="expression" dxfId="26" priority="49" stopIfTrue="1">
      <formula>AND(task_end&gt;=CA$5,task_start&lt;CB$5)</formula>
    </cfRule>
    <cfRule type="expression" dxfId="25" priority="51">
      <formula>AND(TODAY()&gt;=CA$5, TODAY()&lt;CB$5)</formula>
    </cfRule>
  </conditionalFormatting>
  <conditionalFormatting sqref="CC25:GN25 H25:CA27 CB26:GN27 BL4:GM6 BL9 BN9:GN9 BL10:GN11 BL12:BO12 BQ12:GN12 H24:GN24">
    <cfRule type="expression" dxfId="24" priority="7">
      <formula>AND(TODAY()&gt;=H$5, TODAY()&lt;I$5)</formula>
    </cfRule>
  </conditionalFormatting>
  <conditionalFormatting sqref="CC25:GN25 H25:CA27 CB26:GN27">
    <cfRule type="expression" dxfId="23" priority="5">
      <formula>AND(task_start&lt;=H$5,ROUNDDOWN((task_end-task_start+1)*task_progress,0)+task_start-1&gt;=H$5)</formula>
    </cfRule>
    <cfRule type="expression" dxfId="22" priority="6" stopIfTrue="1">
      <formula>AND(task_end&gt;=H$5,task_start&lt;I$5)</formula>
    </cfRule>
  </conditionalFormatting>
  <conditionalFormatting sqref="GN4:GN6">
    <cfRule type="expression" dxfId="21" priority="45">
      <formula>AND(TODAY()&gt;=GN$5, TODAY()&lt;#REF!)</formula>
    </cfRule>
  </conditionalFormatting>
  <dataValidations count="12">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6" xr:uid="{956902D1-D3B5-416D-BB69-9362D193BC0A}"/>
    <dataValidation allowBlank="1" showInputMessage="1" showErrorMessage="1" prompt="Phase 4's sample block starts in cell B26." sqref="A20 A24 A28" xr:uid="{DE54E5DE-526D-4D71-8D03-E99B4AB2FEE5}"/>
  </dataValidations>
  <printOptions horizontalCentered="1"/>
  <pageMargins left="0.35" right="0.35" top="0.35" bottom="0.5" header="0.3" footer="0.3"/>
  <pageSetup scale="57" fitToHeight="0" orientation="landscape" r:id="rId1"/>
  <headerFooter differentFirst="1" scaleWithDoc="0">
    <oddFooter>&amp;R_x000D_&amp;1#&amp;"Arial"&amp;12&amp;KFF0000 ST Restricted</oddFooter>
    <firstFooter>&amp;R_x000D_&amp;1#&amp;"Arial"&amp;12&amp;KFF0000 ST Restricted</first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B7977-7F66-460A-8B23-A6A8EBE2042B}">
  <sheetPr>
    <pageSetUpPr fitToPage="1"/>
  </sheetPr>
  <dimension ref="A1:IM57"/>
  <sheetViews>
    <sheetView showGridLines="0" tabSelected="1" showRuler="0" topLeftCell="A9" zoomScale="101" zoomScaleNormal="55" zoomScalePageLayoutView="70" workbookViewId="0">
      <selection activeCell="AX9" sqref="AX9"/>
    </sheetView>
  </sheetViews>
  <sheetFormatPr defaultColWidth="8.75" defaultRowHeight="30" customHeight="1" x14ac:dyDescent="0.2"/>
  <cols>
    <col min="1" max="1" width="2.75" style="10" customWidth="1"/>
    <col min="2" max="3" width="22.75" customWidth="1"/>
    <col min="4" max="4" width="10.75" customWidth="1"/>
    <col min="5" max="5" width="10.75" style="2" customWidth="1"/>
    <col min="6" max="6" width="10.75" customWidth="1"/>
    <col min="7" max="7" width="2.75" customWidth="1"/>
    <col min="8" max="8" width="6" hidden="1" customWidth="1"/>
    <col min="9" max="197" width="2.75" customWidth="1"/>
  </cols>
  <sheetData>
    <row r="1" spans="1:247" ht="90" customHeight="1" x14ac:dyDescent="1.1000000000000001">
      <c r="A1" s="11"/>
      <c r="B1" s="69" t="s">
        <v>21</v>
      </c>
      <c r="C1" s="69"/>
      <c r="D1" s="13"/>
      <c r="E1" s="14"/>
      <c r="F1" s="15"/>
      <c r="H1" s="1"/>
      <c r="I1" s="115" t="s">
        <v>19</v>
      </c>
      <c r="J1" s="116"/>
      <c r="K1" s="116"/>
      <c r="L1" s="116"/>
      <c r="M1" s="116"/>
      <c r="N1" s="116"/>
      <c r="O1" s="116"/>
      <c r="P1" s="18"/>
      <c r="Q1" s="117">
        <f>DATE(2026,2,9)</f>
        <v>46062</v>
      </c>
      <c r="R1" s="118"/>
      <c r="S1" s="118"/>
      <c r="T1" s="118"/>
      <c r="U1" s="118"/>
      <c r="V1" s="118"/>
      <c r="W1" s="118"/>
      <c r="X1" s="118"/>
      <c r="Y1" s="118"/>
      <c r="Z1" s="118"/>
      <c r="AD1" s="115" t="s">
        <v>19</v>
      </c>
      <c r="AE1" s="116"/>
      <c r="AF1" s="116"/>
      <c r="AG1" s="116"/>
      <c r="AH1" s="116"/>
      <c r="AI1" s="116"/>
      <c r="AJ1" s="116"/>
      <c r="AK1" s="117">
        <f>DATE(2026,8,9)</f>
        <v>46243</v>
      </c>
      <c r="AL1" s="118"/>
      <c r="AM1" s="118"/>
      <c r="AN1" s="118"/>
      <c r="AO1" s="118"/>
      <c r="AP1" s="118"/>
      <c r="AQ1" s="118"/>
      <c r="AR1" s="118"/>
      <c r="AS1" s="118"/>
      <c r="AT1" s="118"/>
    </row>
    <row r="2" spans="1:247" ht="30" customHeight="1" x14ac:dyDescent="0.5">
      <c r="B2" s="68" t="s">
        <v>22</v>
      </c>
      <c r="C2" s="68"/>
      <c r="D2" s="16"/>
      <c r="E2" s="17"/>
      <c r="F2" s="16"/>
      <c r="I2" s="115" t="s">
        <v>20</v>
      </c>
      <c r="J2" s="116"/>
      <c r="K2" s="116"/>
      <c r="L2" s="116"/>
      <c r="M2" s="116"/>
      <c r="N2" s="116"/>
      <c r="O2" s="116"/>
      <c r="P2" s="18"/>
      <c r="Q2" s="119"/>
      <c r="R2" s="118"/>
      <c r="S2" s="118"/>
      <c r="T2" s="118"/>
      <c r="U2" s="118"/>
      <c r="V2" s="118"/>
      <c r="W2" s="118"/>
      <c r="X2" s="118"/>
      <c r="Y2" s="118"/>
      <c r="Z2" s="118"/>
    </row>
    <row r="3" spans="1:247" s="20" customFormat="1" ht="30" customHeight="1" x14ac:dyDescent="0.25">
      <c r="A3" s="10"/>
      <c r="B3" s="19"/>
      <c r="C3" s="19"/>
      <c r="D3" s="21"/>
      <c r="E3" s="22"/>
    </row>
    <row r="4" spans="1:247" s="20" customFormat="1" ht="30" customHeight="1" x14ac:dyDescent="0.2">
      <c r="A4" s="11"/>
      <c r="B4" s="23"/>
      <c r="C4" s="23"/>
      <c r="E4" s="24"/>
      <c r="I4" s="120">
        <f>I5</f>
        <v>46055</v>
      </c>
      <c r="J4" s="114"/>
      <c r="K4" s="114"/>
      <c r="L4" s="114"/>
      <c r="M4" s="114"/>
      <c r="N4" s="114"/>
      <c r="O4" s="114"/>
      <c r="P4" s="114">
        <f>P5</f>
        <v>46062</v>
      </c>
      <c r="Q4" s="114"/>
      <c r="R4" s="114"/>
      <c r="S4" s="114"/>
      <c r="T4" s="114"/>
      <c r="U4" s="114"/>
      <c r="V4" s="114"/>
      <c r="W4" s="114">
        <f>W5</f>
        <v>46069</v>
      </c>
      <c r="X4" s="114"/>
      <c r="Y4" s="114"/>
      <c r="Z4" s="114"/>
      <c r="AA4" s="114"/>
      <c r="AB4" s="114"/>
      <c r="AC4" s="114"/>
      <c r="AD4" s="114">
        <f>AD5</f>
        <v>46076</v>
      </c>
      <c r="AE4" s="114"/>
      <c r="AF4" s="114"/>
      <c r="AG4" s="114"/>
      <c r="AH4" s="114"/>
      <c r="AI4" s="114"/>
      <c r="AJ4" s="114"/>
      <c r="AK4" s="114">
        <f>AK5</f>
        <v>46083</v>
      </c>
      <c r="AL4" s="114"/>
      <c r="AM4" s="114"/>
      <c r="AN4" s="114"/>
      <c r="AO4" s="114"/>
      <c r="AP4" s="114"/>
      <c r="AQ4" s="114"/>
      <c r="AR4" s="114">
        <f>AR5</f>
        <v>46090</v>
      </c>
      <c r="AS4" s="114"/>
      <c r="AT4" s="114"/>
      <c r="AU4" s="114"/>
      <c r="AV4" s="114"/>
      <c r="AW4" s="114"/>
      <c r="AX4" s="114"/>
      <c r="AY4" s="114">
        <f>AY5</f>
        <v>46097</v>
      </c>
      <c r="AZ4" s="114"/>
      <c r="BA4" s="114"/>
      <c r="BB4" s="114"/>
      <c r="BC4" s="114"/>
      <c r="BD4" s="114"/>
      <c r="BE4" s="114"/>
      <c r="BF4" s="114">
        <f>BF5</f>
        <v>46104</v>
      </c>
      <c r="BG4" s="114"/>
      <c r="BH4" s="114"/>
      <c r="BI4" s="114"/>
      <c r="BJ4" s="114"/>
      <c r="BK4" s="114"/>
      <c r="BL4" s="121"/>
      <c r="BM4" s="114">
        <f>BM5</f>
        <v>46111</v>
      </c>
      <c r="BN4" s="114"/>
      <c r="BO4" s="114"/>
      <c r="BP4" s="114"/>
      <c r="BQ4" s="114"/>
      <c r="BR4" s="114"/>
      <c r="BS4" s="121"/>
      <c r="BT4" s="114">
        <f>BT5</f>
        <v>46118</v>
      </c>
      <c r="BU4" s="114"/>
      <c r="BV4" s="114"/>
      <c r="BW4" s="114"/>
      <c r="BX4" s="114"/>
      <c r="BY4" s="114"/>
      <c r="BZ4" s="121"/>
      <c r="CA4" s="114">
        <f t="shared" ref="CA4" si="0">CA5</f>
        <v>46125</v>
      </c>
      <c r="CB4" s="114"/>
      <c r="CC4" s="114"/>
      <c r="CD4" s="114"/>
      <c r="CE4" s="114"/>
      <c r="CF4" s="114"/>
      <c r="CG4" s="121"/>
      <c r="CH4" s="114">
        <f t="shared" ref="CH4" si="1">CH5</f>
        <v>46132</v>
      </c>
      <c r="CI4" s="114"/>
      <c r="CJ4" s="114"/>
      <c r="CK4" s="114"/>
      <c r="CL4" s="114"/>
      <c r="CM4" s="114"/>
      <c r="CN4" s="121"/>
      <c r="CO4" s="114">
        <f t="shared" ref="CO4" si="2">CO5</f>
        <v>46139</v>
      </c>
      <c r="CP4" s="114"/>
      <c r="CQ4" s="114"/>
      <c r="CR4" s="114"/>
      <c r="CS4" s="114"/>
      <c r="CT4" s="114"/>
      <c r="CU4" s="121"/>
      <c r="CV4" s="114">
        <f t="shared" ref="CV4" si="3">CV5</f>
        <v>46146</v>
      </c>
      <c r="CW4" s="114"/>
      <c r="CX4" s="114"/>
      <c r="CY4" s="114"/>
      <c r="CZ4" s="114"/>
      <c r="DA4" s="114"/>
      <c r="DB4" s="121"/>
      <c r="DC4" s="114">
        <f t="shared" ref="DC4" si="4">DC5</f>
        <v>46153</v>
      </c>
      <c r="DD4" s="114"/>
      <c r="DE4" s="114"/>
      <c r="DF4" s="114"/>
      <c r="DG4" s="114"/>
      <c r="DH4" s="114"/>
      <c r="DI4" s="121"/>
      <c r="DJ4" s="114">
        <f t="shared" ref="DJ4" si="5">DJ5</f>
        <v>46160</v>
      </c>
      <c r="DK4" s="114"/>
      <c r="DL4" s="114"/>
      <c r="DM4" s="114"/>
      <c r="DN4" s="114"/>
      <c r="DO4" s="114"/>
      <c r="DP4" s="121"/>
      <c r="DQ4" s="114">
        <f t="shared" ref="DQ4" si="6">DQ5</f>
        <v>46167</v>
      </c>
      <c r="DR4" s="114"/>
      <c r="DS4" s="114"/>
      <c r="DT4" s="114"/>
      <c r="DU4" s="114"/>
      <c r="DV4" s="114"/>
      <c r="DW4" s="121"/>
      <c r="DX4" s="114">
        <f t="shared" ref="DX4" si="7">DX5</f>
        <v>46174</v>
      </c>
      <c r="DY4" s="114"/>
      <c r="DZ4" s="114"/>
      <c r="EA4" s="114"/>
      <c r="EB4" s="114"/>
      <c r="EC4" s="114"/>
      <c r="ED4" s="121"/>
      <c r="EE4" s="114">
        <f t="shared" ref="EE4" si="8">EE5</f>
        <v>46181</v>
      </c>
      <c r="EF4" s="114"/>
      <c r="EG4" s="114"/>
      <c r="EH4" s="114"/>
      <c r="EI4" s="114"/>
      <c r="EJ4" s="114"/>
      <c r="EK4" s="121"/>
      <c r="EL4" s="114">
        <f t="shared" ref="EL4" si="9">EL5</f>
        <v>46188</v>
      </c>
      <c r="EM4" s="114"/>
      <c r="EN4" s="114"/>
      <c r="EO4" s="114"/>
      <c r="EP4" s="114"/>
      <c r="EQ4" s="114"/>
      <c r="ER4" s="121"/>
      <c r="ES4" s="114">
        <f t="shared" ref="ES4" si="10">ES5</f>
        <v>46195</v>
      </c>
      <c r="ET4" s="114"/>
      <c r="EU4" s="114"/>
      <c r="EV4" s="114"/>
      <c r="EW4" s="114"/>
      <c r="EX4" s="114"/>
      <c r="EY4" s="121"/>
      <c r="EZ4" s="114">
        <f t="shared" ref="EZ4" si="11">EZ5</f>
        <v>46202</v>
      </c>
      <c r="FA4" s="114"/>
      <c r="FB4" s="114"/>
      <c r="FC4" s="114"/>
      <c r="FD4" s="114"/>
      <c r="FE4" s="114"/>
      <c r="FF4" s="121"/>
      <c r="FG4" s="114">
        <f t="shared" ref="FG4" si="12">FG5</f>
        <v>46209</v>
      </c>
      <c r="FH4" s="114"/>
      <c r="FI4" s="114"/>
      <c r="FJ4" s="114"/>
      <c r="FK4" s="114"/>
      <c r="FL4" s="114"/>
      <c r="FM4" s="121"/>
      <c r="FN4" s="114">
        <f t="shared" ref="FN4" si="13">FN5</f>
        <v>46216</v>
      </c>
      <c r="FO4" s="114"/>
      <c r="FP4" s="114"/>
      <c r="FQ4" s="114"/>
      <c r="FR4" s="114"/>
      <c r="FS4" s="114"/>
      <c r="FT4" s="121"/>
      <c r="FU4" s="114">
        <f t="shared" ref="FU4" si="14">FU5</f>
        <v>46223</v>
      </c>
      <c r="FV4" s="114"/>
      <c r="FW4" s="114"/>
      <c r="FX4" s="114"/>
      <c r="FY4" s="114"/>
      <c r="FZ4" s="114"/>
      <c r="GA4" s="121"/>
      <c r="GB4" s="114">
        <f t="shared" ref="GB4" si="15">GB5</f>
        <v>46230</v>
      </c>
      <c r="GC4" s="114"/>
      <c r="GD4" s="114"/>
      <c r="GE4" s="114"/>
      <c r="GF4" s="114"/>
      <c r="GG4" s="114"/>
      <c r="GH4" s="121"/>
      <c r="GI4" s="114">
        <f t="shared" ref="GI4" si="16">GI5</f>
        <v>46237</v>
      </c>
      <c r="GJ4" s="114"/>
      <c r="GK4" s="114"/>
      <c r="GL4" s="114"/>
      <c r="GM4" s="114"/>
      <c r="GN4" s="114"/>
      <c r="GO4" s="121"/>
    </row>
    <row r="5" spans="1:247" s="20" customFormat="1" ht="15" x14ac:dyDescent="0.2">
      <c r="A5" s="122"/>
      <c r="B5" s="123" t="s">
        <v>4</v>
      </c>
      <c r="C5" s="125" t="s">
        <v>49</v>
      </c>
      <c r="D5" s="125" t="s">
        <v>0</v>
      </c>
      <c r="E5" s="125" t="s">
        <v>2</v>
      </c>
      <c r="F5" s="125" t="s">
        <v>3</v>
      </c>
      <c r="I5" s="25">
        <f>Project_Start-WEEKDAY(Project_Start,1)+2+7*(Display_Week-1)</f>
        <v>46055</v>
      </c>
      <c r="J5" s="25">
        <f>I5+1</f>
        <v>46056</v>
      </c>
      <c r="K5" s="25">
        <f t="shared" ref="K5:AX5" si="17">J5+1</f>
        <v>46057</v>
      </c>
      <c r="L5" s="25">
        <f t="shared" si="17"/>
        <v>46058</v>
      </c>
      <c r="M5" s="25">
        <f t="shared" si="17"/>
        <v>46059</v>
      </c>
      <c r="N5" s="25">
        <f t="shared" si="17"/>
        <v>46060</v>
      </c>
      <c r="O5" s="26">
        <f t="shared" si="17"/>
        <v>46061</v>
      </c>
      <c r="P5" s="27">
        <f>O5+1</f>
        <v>46062</v>
      </c>
      <c r="Q5" s="25">
        <f>P5+1</f>
        <v>46063</v>
      </c>
      <c r="R5" s="25">
        <f t="shared" si="17"/>
        <v>46064</v>
      </c>
      <c r="S5" s="25">
        <f t="shared" si="17"/>
        <v>46065</v>
      </c>
      <c r="T5" s="25">
        <f t="shared" si="17"/>
        <v>46066</v>
      </c>
      <c r="U5" s="25">
        <f t="shared" si="17"/>
        <v>46067</v>
      </c>
      <c r="V5" s="26">
        <f t="shared" si="17"/>
        <v>46068</v>
      </c>
      <c r="W5" s="27">
        <f>V5+1</f>
        <v>46069</v>
      </c>
      <c r="X5" s="25">
        <f>W5+1</f>
        <v>46070</v>
      </c>
      <c r="Y5" s="25">
        <f t="shared" si="17"/>
        <v>46071</v>
      </c>
      <c r="Z5" s="25">
        <f t="shared" si="17"/>
        <v>46072</v>
      </c>
      <c r="AA5" s="25">
        <f t="shared" si="17"/>
        <v>46073</v>
      </c>
      <c r="AB5" s="25">
        <f t="shared" si="17"/>
        <v>46074</v>
      </c>
      <c r="AC5" s="26">
        <f t="shared" si="17"/>
        <v>46075</v>
      </c>
      <c r="AD5" s="27">
        <f>AC5+1</f>
        <v>46076</v>
      </c>
      <c r="AE5" s="25">
        <f>AD5+1</f>
        <v>46077</v>
      </c>
      <c r="AF5" s="25">
        <f t="shared" si="17"/>
        <v>46078</v>
      </c>
      <c r="AG5" s="25">
        <f t="shared" si="17"/>
        <v>46079</v>
      </c>
      <c r="AH5" s="25">
        <f t="shared" si="17"/>
        <v>46080</v>
      </c>
      <c r="AI5" s="25">
        <f t="shared" si="17"/>
        <v>46081</v>
      </c>
      <c r="AJ5" s="26">
        <f t="shared" si="17"/>
        <v>46082</v>
      </c>
      <c r="AK5" s="27">
        <f>AJ5+1</f>
        <v>46083</v>
      </c>
      <c r="AL5" s="25">
        <f>AK5+1</f>
        <v>46084</v>
      </c>
      <c r="AM5" s="25">
        <f t="shared" si="17"/>
        <v>46085</v>
      </c>
      <c r="AN5" s="25">
        <f t="shared" si="17"/>
        <v>46086</v>
      </c>
      <c r="AO5" s="25">
        <f t="shared" si="17"/>
        <v>46087</v>
      </c>
      <c r="AP5" s="25">
        <f t="shared" si="17"/>
        <v>46088</v>
      </c>
      <c r="AQ5" s="26">
        <f t="shared" si="17"/>
        <v>46089</v>
      </c>
      <c r="AR5" s="27">
        <f>AQ5+1</f>
        <v>46090</v>
      </c>
      <c r="AS5" s="25">
        <f>AR5+1</f>
        <v>46091</v>
      </c>
      <c r="AT5" s="25">
        <f t="shared" si="17"/>
        <v>46092</v>
      </c>
      <c r="AU5" s="25">
        <f t="shared" si="17"/>
        <v>46093</v>
      </c>
      <c r="AV5" s="25">
        <f t="shared" si="17"/>
        <v>46094</v>
      </c>
      <c r="AW5" s="25">
        <f t="shared" si="17"/>
        <v>46095</v>
      </c>
      <c r="AX5" s="26">
        <f t="shared" si="17"/>
        <v>46096</v>
      </c>
      <c r="AY5" s="27">
        <f>AX5+1</f>
        <v>46097</v>
      </c>
      <c r="AZ5" s="25">
        <f>AY5+1</f>
        <v>46098</v>
      </c>
      <c r="BA5" s="25">
        <f t="shared" ref="BA5:BE5" si="18">AZ5+1</f>
        <v>46099</v>
      </c>
      <c r="BB5" s="25">
        <f t="shared" si="18"/>
        <v>46100</v>
      </c>
      <c r="BC5" s="25">
        <f t="shared" si="18"/>
        <v>46101</v>
      </c>
      <c r="BD5" s="25">
        <f t="shared" si="18"/>
        <v>46102</v>
      </c>
      <c r="BE5" s="26">
        <f t="shared" si="18"/>
        <v>46103</v>
      </c>
      <c r="BF5" s="27">
        <f>BE5+1</f>
        <v>46104</v>
      </c>
      <c r="BG5" s="25">
        <f>BF5+1</f>
        <v>46105</v>
      </c>
      <c r="BH5" s="25">
        <f t="shared" ref="BH5:BO5" si="19">BG5+1</f>
        <v>46106</v>
      </c>
      <c r="BI5" s="25">
        <f t="shared" si="19"/>
        <v>46107</v>
      </c>
      <c r="BJ5" s="25">
        <f t="shared" si="19"/>
        <v>46108</v>
      </c>
      <c r="BK5" s="25">
        <f t="shared" si="19"/>
        <v>46109</v>
      </c>
      <c r="BL5" s="25">
        <f t="shared" si="19"/>
        <v>46110</v>
      </c>
      <c r="BM5" s="25">
        <f t="shared" si="19"/>
        <v>46111</v>
      </c>
      <c r="BN5" s="25">
        <f t="shared" si="19"/>
        <v>46112</v>
      </c>
      <c r="BO5" s="25">
        <f t="shared" si="19"/>
        <v>46113</v>
      </c>
      <c r="BP5" s="25">
        <f>BO5+1</f>
        <v>46114</v>
      </c>
      <c r="BQ5" s="25">
        <f t="shared" ref="BQ5:EB5" si="20">BP5+1</f>
        <v>46115</v>
      </c>
      <c r="BR5" s="25">
        <f t="shared" si="20"/>
        <v>46116</v>
      </c>
      <c r="BS5" s="25">
        <f t="shared" si="20"/>
        <v>46117</v>
      </c>
      <c r="BT5" s="25">
        <f t="shared" si="20"/>
        <v>46118</v>
      </c>
      <c r="BU5" s="25">
        <f t="shared" si="20"/>
        <v>46119</v>
      </c>
      <c r="BV5" s="25">
        <f t="shared" si="20"/>
        <v>46120</v>
      </c>
      <c r="BW5" s="25">
        <f t="shared" si="20"/>
        <v>46121</v>
      </c>
      <c r="BX5" s="25">
        <f t="shared" si="20"/>
        <v>46122</v>
      </c>
      <c r="BY5" s="25">
        <f t="shared" si="20"/>
        <v>46123</v>
      </c>
      <c r="BZ5" s="25">
        <f t="shared" si="20"/>
        <v>46124</v>
      </c>
      <c r="CA5" s="25">
        <f t="shared" si="20"/>
        <v>46125</v>
      </c>
      <c r="CB5" s="25">
        <f t="shared" si="20"/>
        <v>46126</v>
      </c>
      <c r="CC5" s="25">
        <f t="shared" si="20"/>
        <v>46127</v>
      </c>
      <c r="CD5" s="25">
        <f t="shared" si="20"/>
        <v>46128</v>
      </c>
      <c r="CE5" s="25">
        <f t="shared" si="20"/>
        <v>46129</v>
      </c>
      <c r="CF5" s="25">
        <f t="shared" si="20"/>
        <v>46130</v>
      </c>
      <c r="CG5" s="25">
        <f t="shared" si="20"/>
        <v>46131</v>
      </c>
      <c r="CH5" s="25">
        <f t="shared" si="20"/>
        <v>46132</v>
      </c>
      <c r="CI5" s="25">
        <f t="shared" si="20"/>
        <v>46133</v>
      </c>
      <c r="CJ5" s="25">
        <f t="shared" si="20"/>
        <v>46134</v>
      </c>
      <c r="CK5" s="25">
        <f t="shared" si="20"/>
        <v>46135</v>
      </c>
      <c r="CL5" s="25">
        <f t="shared" si="20"/>
        <v>46136</v>
      </c>
      <c r="CM5" s="25">
        <f t="shared" si="20"/>
        <v>46137</v>
      </c>
      <c r="CN5" s="25">
        <f t="shared" si="20"/>
        <v>46138</v>
      </c>
      <c r="CO5" s="25">
        <f t="shared" si="20"/>
        <v>46139</v>
      </c>
      <c r="CP5" s="25">
        <f t="shared" si="20"/>
        <v>46140</v>
      </c>
      <c r="CQ5" s="25">
        <f t="shared" si="20"/>
        <v>46141</v>
      </c>
      <c r="CR5" s="25">
        <f t="shared" si="20"/>
        <v>46142</v>
      </c>
      <c r="CS5" s="25">
        <f t="shared" si="20"/>
        <v>46143</v>
      </c>
      <c r="CT5" s="25">
        <f t="shared" si="20"/>
        <v>46144</v>
      </c>
      <c r="CU5" s="25">
        <f t="shared" si="20"/>
        <v>46145</v>
      </c>
      <c r="CV5" s="25">
        <f t="shared" si="20"/>
        <v>46146</v>
      </c>
      <c r="CW5" s="25">
        <f t="shared" si="20"/>
        <v>46147</v>
      </c>
      <c r="CX5" s="25">
        <f t="shared" si="20"/>
        <v>46148</v>
      </c>
      <c r="CY5" s="25">
        <f t="shared" si="20"/>
        <v>46149</v>
      </c>
      <c r="CZ5" s="25">
        <f t="shared" si="20"/>
        <v>46150</v>
      </c>
      <c r="DA5" s="25">
        <f t="shared" si="20"/>
        <v>46151</v>
      </c>
      <c r="DB5" s="25">
        <f t="shared" si="20"/>
        <v>46152</v>
      </c>
      <c r="DC5" s="25">
        <f t="shared" si="20"/>
        <v>46153</v>
      </c>
      <c r="DD5" s="25">
        <f t="shared" si="20"/>
        <v>46154</v>
      </c>
      <c r="DE5" s="25">
        <f t="shared" si="20"/>
        <v>46155</v>
      </c>
      <c r="DF5" s="25">
        <f t="shared" si="20"/>
        <v>46156</v>
      </c>
      <c r="DG5" s="25">
        <f t="shared" si="20"/>
        <v>46157</v>
      </c>
      <c r="DH5" s="25">
        <f t="shared" si="20"/>
        <v>46158</v>
      </c>
      <c r="DI5" s="25">
        <f t="shared" si="20"/>
        <v>46159</v>
      </c>
      <c r="DJ5" s="25">
        <f t="shared" si="20"/>
        <v>46160</v>
      </c>
      <c r="DK5" s="25">
        <f t="shared" si="20"/>
        <v>46161</v>
      </c>
      <c r="DL5" s="25">
        <f t="shared" si="20"/>
        <v>46162</v>
      </c>
      <c r="DM5" s="25">
        <f t="shared" si="20"/>
        <v>46163</v>
      </c>
      <c r="DN5" s="25">
        <f t="shared" si="20"/>
        <v>46164</v>
      </c>
      <c r="DO5" s="25">
        <f t="shared" si="20"/>
        <v>46165</v>
      </c>
      <c r="DP5" s="25">
        <f t="shared" si="20"/>
        <v>46166</v>
      </c>
      <c r="DQ5" s="25">
        <f t="shared" si="20"/>
        <v>46167</v>
      </c>
      <c r="DR5" s="25">
        <f t="shared" si="20"/>
        <v>46168</v>
      </c>
      <c r="DS5" s="25">
        <f t="shared" si="20"/>
        <v>46169</v>
      </c>
      <c r="DT5" s="25">
        <f t="shared" si="20"/>
        <v>46170</v>
      </c>
      <c r="DU5" s="25">
        <f t="shared" si="20"/>
        <v>46171</v>
      </c>
      <c r="DV5" s="25">
        <f t="shared" si="20"/>
        <v>46172</v>
      </c>
      <c r="DW5" s="25">
        <f t="shared" si="20"/>
        <v>46173</v>
      </c>
      <c r="DX5" s="25">
        <f t="shared" si="20"/>
        <v>46174</v>
      </c>
      <c r="DY5" s="25">
        <f t="shared" si="20"/>
        <v>46175</v>
      </c>
      <c r="DZ5" s="25">
        <f t="shared" si="20"/>
        <v>46176</v>
      </c>
      <c r="EA5" s="25">
        <f t="shared" si="20"/>
        <v>46177</v>
      </c>
      <c r="EB5" s="25">
        <f t="shared" si="20"/>
        <v>46178</v>
      </c>
      <c r="EC5" s="25">
        <f t="shared" ref="EC5:GN5" si="21">EB5+1</f>
        <v>46179</v>
      </c>
      <c r="ED5" s="25">
        <f t="shared" si="21"/>
        <v>46180</v>
      </c>
      <c r="EE5" s="25">
        <f t="shared" si="21"/>
        <v>46181</v>
      </c>
      <c r="EF5" s="25">
        <f t="shared" si="21"/>
        <v>46182</v>
      </c>
      <c r="EG5" s="25">
        <f t="shared" si="21"/>
        <v>46183</v>
      </c>
      <c r="EH5" s="25">
        <f t="shared" si="21"/>
        <v>46184</v>
      </c>
      <c r="EI5" s="25">
        <f t="shared" si="21"/>
        <v>46185</v>
      </c>
      <c r="EJ5" s="25">
        <f t="shared" si="21"/>
        <v>46186</v>
      </c>
      <c r="EK5" s="25">
        <f t="shared" si="21"/>
        <v>46187</v>
      </c>
      <c r="EL5" s="25">
        <f t="shared" si="21"/>
        <v>46188</v>
      </c>
      <c r="EM5" s="25">
        <f t="shared" si="21"/>
        <v>46189</v>
      </c>
      <c r="EN5" s="25">
        <f t="shared" si="21"/>
        <v>46190</v>
      </c>
      <c r="EO5" s="25">
        <f t="shared" si="21"/>
        <v>46191</v>
      </c>
      <c r="EP5" s="25">
        <f t="shared" si="21"/>
        <v>46192</v>
      </c>
      <c r="EQ5" s="25">
        <f t="shared" si="21"/>
        <v>46193</v>
      </c>
      <c r="ER5" s="25">
        <f t="shared" si="21"/>
        <v>46194</v>
      </c>
      <c r="ES5" s="25">
        <f t="shared" si="21"/>
        <v>46195</v>
      </c>
      <c r="ET5" s="25">
        <f t="shared" si="21"/>
        <v>46196</v>
      </c>
      <c r="EU5" s="25">
        <f t="shared" si="21"/>
        <v>46197</v>
      </c>
      <c r="EV5" s="25">
        <f t="shared" si="21"/>
        <v>46198</v>
      </c>
      <c r="EW5" s="25">
        <f t="shared" si="21"/>
        <v>46199</v>
      </c>
      <c r="EX5" s="25">
        <f t="shared" si="21"/>
        <v>46200</v>
      </c>
      <c r="EY5" s="25">
        <f t="shared" si="21"/>
        <v>46201</v>
      </c>
      <c r="EZ5" s="25">
        <f t="shared" si="21"/>
        <v>46202</v>
      </c>
      <c r="FA5" s="25">
        <f t="shared" si="21"/>
        <v>46203</v>
      </c>
      <c r="FB5" s="25">
        <f t="shared" si="21"/>
        <v>46204</v>
      </c>
      <c r="FC5" s="25">
        <f t="shared" si="21"/>
        <v>46205</v>
      </c>
      <c r="FD5" s="25">
        <f t="shared" si="21"/>
        <v>46206</v>
      </c>
      <c r="FE5" s="25">
        <f t="shared" si="21"/>
        <v>46207</v>
      </c>
      <c r="FF5" s="25">
        <f t="shared" si="21"/>
        <v>46208</v>
      </c>
      <c r="FG5" s="25">
        <f t="shared" si="21"/>
        <v>46209</v>
      </c>
      <c r="FH5" s="25">
        <f t="shared" si="21"/>
        <v>46210</v>
      </c>
      <c r="FI5" s="25">
        <f t="shared" si="21"/>
        <v>46211</v>
      </c>
      <c r="FJ5" s="25">
        <f t="shared" si="21"/>
        <v>46212</v>
      </c>
      <c r="FK5" s="25">
        <f t="shared" si="21"/>
        <v>46213</v>
      </c>
      <c r="FL5" s="25">
        <f t="shared" si="21"/>
        <v>46214</v>
      </c>
      <c r="FM5" s="25">
        <f t="shared" si="21"/>
        <v>46215</v>
      </c>
      <c r="FN5" s="25">
        <f t="shared" si="21"/>
        <v>46216</v>
      </c>
      <c r="FO5" s="25">
        <f t="shared" si="21"/>
        <v>46217</v>
      </c>
      <c r="FP5" s="25">
        <f t="shared" si="21"/>
        <v>46218</v>
      </c>
      <c r="FQ5" s="25">
        <f t="shared" si="21"/>
        <v>46219</v>
      </c>
      <c r="FR5" s="25">
        <f t="shared" si="21"/>
        <v>46220</v>
      </c>
      <c r="FS5" s="25">
        <f t="shared" si="21"/>
        <v>46221</v>
      </c>
      <c r="FT5" s="25">
        <f t="shared" si="21"/>
        <v>46222</v>
      </c>
      <c r="FU5" s="25">
        <f t="shared" si="21"/>
        <v>46223</v>
      </c>
      <c r="FV5" s="25">
        <f t="shared" si="21"/>
        <v>46224</v>
      </c>
      <c r="FW5" s="25">
        <f t="shared" si="21"/>
        <v>46225</v>
      </c>
      <c r="FX5" s="25">
        <f t="shared" si="21"/>
        <v>46226</v>
      </c>
      <c r="FY5" s="25">
        <f t="shared" si="21"/>
        <v>46227</v>
      </c>
      <c r="FZ5" s="25">
        <f t="shared" si="21"/>
        <v>46228</v>
      </c>
      <c r="GA5" s="25">
        <f t="shared" si="21"/>
        <v>46229</v>
      </c>
      <c r="GB5" s="25">
        <f t="shared" si="21"/>
        <v>46230</v>
      </c>
      <c r="GC5" s="25">
        <f t="shared" si="21"/>
        <v>46231</v>
      </c>
      <c r="GD5" s="25">
        <f t="shared" si="21"/>
        <v>46232</v>
      </c>
      <c r="GE5" s="25">
        <f t="shared" si="21"/>
        <v>46233</v>
      </c>
      <c r="GF5" s="25">
        <f t="shared" si="21"/>
        <v>46234</v>
      </c>
      <c r="GG5" s="25">
        <f t="shared" si="21"/>
        <v>46235</v>
      </c>
      <c r="GH5" s="25">
        <f t="shared" si="21"/>
        <v>46236</v>
      </c>
      <c r="GI5" s="25">
        <f t="shared" si="21"/>
        <v>46237</v>
      </c>
      <c r="GJ5" s="25">
        <f t="shared" si="21"/>
        <v>46238</v>
      </c>
      <c r="GK5" s="25">
        <f t="shared" si="21"/>
        <v>46239</v>
      </c>
      <c r="GL5" s="25">
        <f t="shared" si="21"/>
        <v>46240</v>
      </c>
      <c r="GM5" s="25">
        <f t="shared" si="21"/>
        <v>46241</v>
      </c>
      <c r="GN5" s="25">
        <f t="shared" si="21"/>
        <v>46242</v>
      </c>
      <c r="GO5" s="25">
        <f t="shared" ref="GO5" si="22">GN5+1</f>
        <v>46243</v>
      </c>
      <c r="GY5" s="100"/>
      <c r="GZ5" s="100"/>
      <c r="HA5" s="100"/>
      <c r="HB5" s="100"/>
      <c r="HC5" s="100"/>
      <c r="HD5" s="100"/>
      <c r="HE5" s="100"/>
      <c r="HF5" s="100"/>
      <c r="HG5" s="100"/>
      <c r="HH5" s="100"/>
      <c r="HI5" s="100"/>
      <c r="HJ5" s="100"/>
    </row>
    <row r="6" spans="1:247" s="20" customFormat="1" ht="15" thickBot="1" x14ac:dyDescent="0.25">
      <c r="A6" s="122"/>
      <c r="B6" s="124"/>
      <c r="C6" s="127"/>
      <c r="D6" s="126"/>
      <c r="E6" s="126"/>
      <c r="F6" s="126"/>
      <c r="I6" s="28" t="str">
        <f t="shared" ref="I6:BT6" si="23">LEFT(TEXT(I5,"ddd"),1)</f>
        <v>M</v>
      </c>
      <c r="J6" s="29" t="str">
        <f t="shared" si="23"/>
        <v>T</v>
      </c>
      <c r="K6" s="29" t="str">
        <f t="shared" si="23"/>
        <v>W</v>
      </c>
      <c r="L6" s="29" t="str">
        <f t="shared" si="23"/>
        <v>T</v>
      </c>
      <c r="M6" s="29" t="str">
        <f t="shared" si="23"/>
        <v>F</v>
      </c>
      <c r="N6" s="29" t="str">
        <f t="shared" si="23"/>
        <v>S</v>
      </c>
      <c r="O6" s="29" t="str">
        <f t="shared" si="23"/>
        <v>S</v>
      </c>
      <c r="P6" s="29" t="str">
        <f t="shared" si="23"/>
        <v>M</v>
      </c>
      <c r="Q6" s="29" t="str">
        <f t="shared" si="23"/>
        <v>T</v>
      </c>
      <c r="R6" s="29" t="str">
        <f t="shared" si="23"/>
        <v>W</v>
      </c>
      <c r="S6" s="29" t="str">
        <f t="shared" si="23"/>
        <v>T</v>
      </c>
      <c r="T6" s="29" t="str">
        <f t="shared" si="23"/>
        <v>F</v>
      </c>
      <c r="U6" s="29" t="str">
        <f t="shared" si="23"/>
        <v>S</v>
      </c>
      <c r="V6" s="29" t="str">
        <f t="shared" si="23"/>
        <v>S</v>
      </c>
      <c r="W6" s="29" t="str">
        <f t="shared" si="23"/>
        <v>M</v>
      </c>
      <c r="X6" s="29" t="str">
        <f t="shared" si="23"/>
        <v>T</v>
      </c>
      <c r="Y6" s="29" t="str">
        <f t="shared" si="23"/>
        <v>W</v>
      </c>
      <c r="Z6" s="29" t="str">
        <f t="shared" si="23"/>
        <v>T</v>
      </c>
      <c r="AA6" s="29" t="str">
        <f t="shared" si="23"/>
        <v>F</v>
      </c>
      <c r="AB6" s="29" t="str">
        <f t="shared" si="23"/>
        <v>S</v>
      </c>
      <c r="AC6" s="29" t="str">
        <f t="shared" si="23"/>
        <v>S</v>
      </c>
      <c r="AD6" s="29" t="str">
        <f t="shared" si="23"/>
        <v>M</v>
      </c>
      <c r="AE6" s="29" t="str">
        <f t="shared" si="23"/>
        <v>T</v>
      </c>
      <c r="AF6" s="29" t="str">
        <f t="shared" si="23"/>
        <v>W</v>
      </c>
      <c r="AG6" s="29" t="str">
        <f t="shared" si="23"/>
        <v>T</v>
      </c>
      <c r="AH6" s="29" t="str">
        <f t="shared" si="23"/>
        <v>F</v>
      </c>
      <c r="AI6" s="29" t="str">
        <f t="shared" si="23"/>
        <v>S</v>
      </c>
      <c r="AJ6" s="29" t="str">
        <f t="shared" si="23"/>
        <v>S</v>
      </c>
      <c r="AK6" s="29" t="str">
        <f t="shared" si="23"/>
        <v>M</v>
      </c>
      <c r="AL6" s="29" t="str">
        <f t="shared" si="23"/>
        <v>T</v>
      </c>
      <c r="AM6" s="29" t="str">
        <f t="shared" si="23"/>
        <v>W</v>
      </c>
      <c r="AN6" s="29" t="str">
        <f t="shared" si="23"/>
        <v>T</v>
      </c>
      <c r="AO6" s="29" t="str">
        <f t="shared" si="23"/>
        <v>F</v>
      </c>
      <c r="AP6" s="29" t="str">
        <f t="shared" si="23"/>
        <v>S</v>
      </c>
      <c r="AQ6" s="29" t="str">
        <f t="shared" si="23"/>
        <v>S</v>
      </c>
      <c r="AR6" s="29" t="str">
        <f t="shared" si="23"/>
        <v>M</v>
      </c>
      <c r="AS6" s="29" t="str">
        <f t="shared" si="23"/>
        <v>T</v>
      </c>
      <c r="AT6" s="29" t="str">
        <f t="shared" si="23"/>
        <v>W</v>
      </c>
      <c r="AU6" s="29" t="str">
        <f t="shared" si="23"/>
        <v>T</v>
      </c>
      <c r="AV6" s="29" t="str">
        <f t="shared" si="23"/>
        <v>F</v>
      </c>
      <c r="AW6" s="29" t="str">
        <f t="shared" si="23"/>
        <v>S</v>
      </c>
      <c r="AX6" s="29" t="str">
        <f t="shared" si="23"/>
        <v>S</v>
      </c>
      <c r="AY6" s="29" t="str">
        <f t="shared" si="23"/>
        <v>M</v>
      </c>
      <c r="AZ6" s="29" t="str">
        <f t="shared" si="23"/>
        <v>T</v>
      </c>
      <c r="BA6" s="29" t="str">
        <f t="shared" si="23"/>
        <v>W</v>
      </c>
      <c r="BB6" s="29" t="str">
        <f t="shared" si="23"/>
        <v>T</v>
      </c>
      <c r="BC6" s="29" t="str">
        <f t="shared" si="23"/>
        <v>F</v>
      </c>
      <c r="BD6" s="29" t="str">
        <f t="shared" si="23"/>
        <v>S</v>
      </c>
      <c r="BE6" s="29" t="str">
        <f t="shared" si="23"/>
        <v>S</v>
      </c>
      <c r="BF6" s="29" t="str">
        <f t="shared" si="23"/>
        <v>M</v>
      </c>
      <c r="BG6" s="29" t="str">
        <f t="shared" si="23"/>
        <v>T</v>
      </c>
      <c r="BH6" s="29" t="str">
        <f t="shared" si="23"/>
        <v>W</v>
      </c>
      <c r="BI6" s="29" t="str">
        <f t="shared" si="23"/>
        <v>T</v>
      </c>
      <c r="BJ6" s="29" t="str">
        <f t="shared" si="23"/>
        <v>F</v>
      </c>
      <c r="BK6" s="29" t="str">
        <f t="shared" si="23"/>
        <v>S</v>
      </c>
      <c r="BL6" s="30" t="str">
        <f t="shared" si="23"/>
        <v>S</v>
      </c>
      <c r="BM6" s="30" t="str">
        <f t="shared" si="23"/>
        <v>M</v>
      </c>
      <c r="BN6" s="30" t="str">
        <f t="shared" si="23"/>
        <v>T</v>
      </c>
      <c r="BO6" s="30" t="str">
        <f t="shared" si="23"/>
        <v>W</v>
      </c>
      <c r="BP6" s="30" t="str">
        <f t="shared" si="23"/>
        <v>T</v>
      </c>
      <c r="BQ6" s="30" t="str">
        <f t="shared" si="23"/>
        <v>F</v>
      </c>
      <c r="BR6" s="30" t="str">
        <f t="shared" si="23"/>
        <v>S</v>
      </c>
      <c r="BS6" s="30" t="str">
        <f t="shared" si="23"/>
        <v>S</v>
      </c>
      <c r="BT6" s="30" t="str">
        <f t="shared" si="23"/>
        <v>M</v>
      </c>
      <c r="BU6" s="30" t="str">
        <f t="shared" ref="BU6:EF6" si="24">LEFT(TEXT(BU5,"ddd"),1)</f>
        <v>T</v>
      </c>
      <c r="BV6" s="30" t="str">
        <f t="shared" si="24"/>
        <v>W</v>
      </c>
      <c r="BW6" s="30" t="str">
        <f t="shared" si="24"/>
        <v>T</v>
      </c>
      <c r="BX6" s="30" t="str">
        <f t="shared" si="24"/>
        <v>F</v>
      </c>
      <c r="BY6" s="30" t="str">
        <f t="shared" si="24"/>
        <v>S</v>
      </c>
      <c r="BZ6" s="30" t="str">
        <f t="shared" si="24"/>
        <v>S</v>
      </c>
      <c r="CA6" s="30" t="str">
        <f t="shared" si="24"/>
        <v>M</v>
      </c>
      <c r="CB6" s="30" t="str">
        <f t="shared" si="24"/>
        <v>T</v>
      </c>
      <c r="CC6" s="30" t="str">
        <f t="shared" si="24"/>
        <v>W</v>
      </c>
      <c r="CD6" s="30" t="str">
        <f t="shared" si="24"/>
        <v>T</v>
      </c>
      <c r="CE6" s="30" t="str">
        <f t="shared" si="24"/>
        <v>F</v>
      </c>
      <c r="CF6" s="30" t="str">
        <f t="shared" si="24"/>
        <v>S</v>
      </c>
      <c r="CG6" s="30" t="str">
        <f t="shared" si="24"/>
        <v>S</v>
      </c>
      <c r="CH6" s="30" t="str">
        <f t="shared" si="24"/>
        <v>M</v>
      </c>
      <c r="CI6" s="30" t="str">
        <f t="shared" si="24"/>
        <v>T</v>
      </c>
      <c r="CJ6" s="30" t="str">
        <f t="shared" si="24"/>
        <v>W</v>
      </c>
      <c r="CK6" s="30" t="str">
        <f t="shared" si="24"/>
        <v>T</v>
      </c>
      <c r="CL6" s="30" t="str">
        <f t="shared" si="24"/>
        <v>F</v>
      </c>
      <c r="CM6" s="30" t="str">
        <f t="shared" si="24"/>
        <v>S</v>
      </c>
      <c r="CN6" s="30" t="str">
        <f t="shared" si="24"/>
        <v>S</v>
      </c>
      <c r="CO6" s="30" t="str">
        <f t="shared" si="24"/>
        <v>M</v>
      </c>
      <c r="CP6" s="30" t="str">
        <f t="shared" si="24"/>
        <v>T</v>
      </c>
      <c r="CQ6" s="30" t="str">
        <f t="shared" si="24"/>
        <v>W</v>
      </c>
      <c r="CR6" s="30" t="str">
        <f t="shared" si="24"/>
        <v>T</v>
      </c>
      <c r="CS6" s="30" t="str">
        <f t="shared" si="24"/>
        <v>F</v>
      </c>
      <c r="CT6" s="30" t="str">
        <f t="shared" si="24"/>
        <v>S</v>
      </c>
      <c r="CU6" s="30" t="str">
        <f t="shared" si="24"/>
        <v>S</v>
      </c>
      <c r="CV6" s="30" t="str">
        <f t="shared" si="24"/>
        <v>M</v>
      </c>
      <c r="CW6" s="30" t="str">
        <f t="shared" si="24"/>
        <v>T</v>
      </c>
      <c r="CX6" s="30" t="str">
        <f t="shared" si="24"/>
        <v>W</v>
      </c>
      <c r="CY6" s="30" t="str">
        <f t="shared" si="24"/>
        <v>T</v>
      </c>
      <c r="CZ6" s="30" t="str">
        <f t="shared" si="24"/>
        <v>F</v>
      </c>
      <c r="DA6" s="30" t="str">
        <f t="shared" si="24"/>
        <v>S</v>
      </c>
      <c r="DB6" s="30" t="str">
        <f t="shared" si="24"/>
        <v>S</v>
      </c>
      <c r="DC6" s="30" t="str">
        <f t="shared" si="24"/>
        <v>M</v>
      </c>
      <c r="DD6" s="30" t="str">
        <f t="shared" si="24"/>
        <v>T</v>
      </c>
      <c r="DE6" s="30" t="str">
        <f t="shared" si="24"/>
        <v>W</v>
      </c>
      <c r="DF6" s="30" t="str">
        <f t="shared" si="24"/>
        <v>T</v>
      </c>
      <c r="DG6" s="30" t="str">
        <f t="shared" si="24"/>
        <v>F</v>
      </c>
      <c r="DH6" s="30" t="str">
        <f t="shared" si="24"/>
        <v>S</v>
      </c>
      <c r="DI6" s="30" t="str">
        <f t="shared" si="24"/>
        <v>S</v>
      </c>
      <c r="DJ6" s="30" t="str">
        <f t="shared" si="24"/>
        <v>M</v>
      </c>
      <c r="DK6" s="30" t="str">
        <f t="shared" si="24"/>
        <v>T</v>
      </c>
      <c r="DL6" s="30" t="str">
        <f t="shared" si="24"/>
        <v>W</v>
      </c>
      <c r="DM6" s="30" t="str">
        <f t="shared" si="24"/>
        <v>T</v>
      </c>
      <c r="DN6" s="30" t="str">
        <f t="shared" si="24"/>
        <v>F</v>
      </c>
      <c r="DO6" s="30" t="str">
        <f t="shared" si="24"/>
        <v>S</v>
      </c>
      <c r="DP6" s="30" t="str">
        <f t="shared" si="24"/>
        <v>S</v>
      </c>
      <c r="DQ6" s="30" t="str">
        <f t="shared" si="24"/>
        <v>M</v>
      </c>
      <c r="DR6" s="30" t="str">
        <f t="shared" si="24"/>
        <v>T</v>
      </c>
      <c r="DS6" s="30" t="str">
        <f t="shared" si="24"/>
        <v>W</v>
      </c>
      <c r="DT6" s="30" t="str">
        <f t="shared" si="24"/>
        <v>T</v>
      </c>
      <c r="DU6" s="30" t="str">
        <f t="shared" si="24"/>
        <v>F</v>
      </c>
      <c r="DV6" s="30" t="str">
        <f t="shared" si="24"/>
        <v>S</v>
      </c>
      <c r="DW6" s="30" t="str">
        <f t="shared" si="24"/>
        <v>S</v>
      </c>
      <c r="DX6" s="30" t="str">
        <f t="shared" si="24"/>
        <v>M</v>
      </c>
      <c r="DY6" s="30" t="str">
        <f t="shared" si="24"/>
        <v>T</v>
      </c>
      <c r="DZ6" s="30" t="str">
        <f t="shared" si="24"/>
        <v>W</v>
      </c>
      <c r="EA6" s="30" t="str">
        <f t="shared" si="24"/>
        <v>T</v>
      </c>
      <c r="EB6" s="30" t="str">
        <f t="shared" si="24"/>
        <v>F</v>
      </c>
      <c r="EC6" s="30" t="str">
        <f t="shared" si="24"/>
        <v>S</v>
      </c>
      <c r="ED6" s="30" t="str">
        <f t="shared" si="24"/>
        <v>S</v>
      </c>
      <c r="EE6" s="30" t="str">
        <f t="shared" si="24"/>
        <v>M</v>
      </c>
      <c r="EF6" s="30" t="str">
        <f t="shared" si="24"/>
        <v>T</v>
      </c>
      <c r="EG6" s="30" t="str">
        <f t="shared" ref="EG6:GO6" si="25">LEFT(TEXT(EG5,"ddd"),1)</f>
        <v>W</v>
      </c>
      <c r="EH6" s="30" t="str">
        <f t="shared" si="25"/>
        <v>T</v>
      </c>
      <c r="EI6" s="30" t="str">
        <f t="shared" si="25"/>
        <v>F</v>
      </c>
      <c r="EJ6" s="30" t="str">
        <f t="shared" si="25"/>
        <v>S</v>
      </c>
      <c r="EK6" s="30" t="str">
        <f t="shared" si="25"/>
        <v>S</v>
      </c>
      <c r="EL6" s="30" t="str">
        <f t="shared" si="25"/>
        <v>M</v>
      </c>
      <c r="EM6" s="30" t="str">
        <f t="shared" si="25"/>
        <v>T</v>
      </c>
      <c r="EN6" s="30" t="str">
        <f t="shared" si="25"/>
        <v>W</v>
      </c>
      <c r="EO6" s="30" t="str">
        <f t="shared" si="25"/>
        <v>T</v>
      </c>
      <c r="EP6" s="30" t="str">
        <f t="shared" si="25"/>
        <v>F</v>
      </c>
      <c r="EQ6" s="30" t="str">
        <f t="shared" si="25"/>
        <v>S</v>
      </c>
      <c r="ER6" s="30" t="str">
        <f t="shared" si="25"/>
        <v>S</v>
      </c>
      <c r="ES6" s="30" t="str">
        <f t="shared" si="25"/>
        <v>M</v>
      </c>
      <c r="ET6" s="30" t="str">
        <f t="shared" si="25"/>
        <v>T</v>
      </c>
      <c r="EU6" s="30" t="str">
        <f t="shared" si="25"/>
        <v>W</v>
      </c>
      <c r="EV6" s="30" t="str">
        <f t="shared" si="25"/>
        <v>T</v>
      </c>
      <c r="EW6" s="30" t="str">
        <f t="shared" si="25"/>
        <v>F</v>
      </c>
      <c r="EX6" s="30" t="str">
        <f t="shared" si="25"/>
        <v>S</v>
      </c>
      <c r="EY6" s="30" t="str">
        <f t="shared" si="25"/>
        <v>S</v>
      </c>
      <c r="EZ6" s="30" t="str">
        <f t="shared" si="25"/>
        <v>M</v>
      </c>
      <c r="FA6" s="30" t="str">
        <f t="shared" si="25"/>
        <v>T</v>
      </c>
      <c r="FB6" s="30" t="str">
        <f t="shared" si="25"/>
        <v>W</v>
      </c>
      <c r="FC6" s="30" t="str">
        <f t="shared" si="25"/>
        <v>T</v>
      </c>
      <c r="FD6" s="30" t="str">
        <f t="shared" si="25"/>
        <v>F</v>
      </c>
      <c r="FE6" s="30" t="str">
        <f t="shared" si="25"/>
        <v>S</v>
      </c>
      <c r="FF6" s="30" t="str">
        <f t="shared" si="25"/>
        <v>S</v>
      </c>
      <c r="FG6" s="30" t="str">
        <f t="shared" si="25"/>
        <v>M</v>
      </c>
      <c r="FH6" s="30" t="str">
        <f t="shared" si="25"/>
        <v>T</v>
      </c>
      <c r="FI6" s="30" t="str">
        <f t="shared" si="25"/>
        <v>W</v>
      </c>
      <c r="FJ6" s="30" t="str">
        <f t="shared" si="25"/>
        <v>T</v>
      </c>
      <c r="FK6" s="30" t="str">
        <f t="shared" si="25"/>
        <v>F</v>
      </c>
      <c r="FL6" s="30" t="str">
        <f t="shared" si="25"/>
        <v>S</v>
      </c>
      <c r="FM6" s="30" t="str">
        <f t="shared" si="25"/>
        <v>S</v>
      </c>
      <c r="FN6" s="30" t="str">
        <f t="shared" si="25"/>
        <v>M</v>
      </c>
      <c r="FO6" s="30" t="str">
        <f t="shared" si="25"/>
        <v>T</v>
      </c>
      <c r="FP6" s="30" t="str">
        <f t="shared" si="25"/>
        <v>W</v>
      </c>
      <c r="FQ6" s="30" t="str">
        <f t="shared" si="25"/>
        <v>T</v>
      </c>
      <c r="FR6" s="30" t="str">
        <f t="shared" si="25"/>
        <v>F</v>
      </c>
      <c r="FS6" s="30" t="str">
        <f t="shared" si="25"/>
        <v>S</v>
      </c>
      <c r="FT6" s="30" t="str">
        <f t="shared" si="25"/>
        <v>S</v>
      </c>
      <c r="FU6" s="30" t="str">
        <f t="shared" si="25"/>
        <v>M</v>
      </c>
      <c r="FV6" s="30" t="str">
        <f t="shared" si="25"/>
        <v>T</v>
      </c>
      <c r="FW6" s="30" t="str">
        <f t="shared" si="25"/>
        <v>W</v>
      </c>
      <c r="FX6" s="30" t="str">
        <f t="shared" si="25"/>
        <v>T</v>
      </c>
      <c r="FY6" s="30" t="str">
        <f t="shared" si="25"/>
        <v>F</v>
      </c>
      <c r="FZ6" s="30" t="str">
        <f t="shared" si="25"/>
        <v>S</v>
      </c>
      <c r="GA6" s="30" t="str">
        <f t="shared" si="25"/>
        <v>S</v>
      </c>
      <c r="GB6" s="30" t="str">
        <f t="shared" si="25"/>
        <v>M</v>
      </c>
      <c r="GC6" s="30" t="str">
        <f t="shared" si="25"/>
        <v>T</v>
      </c>
      <c r="GD6" s="30" t="str">
        <f t="shared" si="25"/>
        <v>W</v>
      </c>
      <c r="GE6" s="30" t="str">
        <f t="shared" si="25"/>
        <v>T</v>
      </c>
      <c r="GF6" s="30" t="str">
        <f t="shared" si="25"/>
        <v>F</v>
      </c>
      <c r="GG6" s="30" t="str">
        <f t="shared" si="25"/>
        <v>S</v>
      </c>
      <c r="GH6" s="30" t="str">
        <f t="shared" si="25"/>
        <v>S</v>
      </c>
      <c r="GI6" s="30" t="str">
        <f t="shared" si="25"/>
        <v>M</v>
      </c>
      <c r="GJ6" s="30" t="str">
        <f t="shared" si="25"/>
        <v>T</v>
      </c>
      <c r="GK6" s="30" t="str">
        <f t="shared" si="25"/>
        <v>W</v>
      </c>
      <c r="GL6" s="30" t="str">
        <f t="shared" si="25"/>
        <v>T</v>
      </c>
      <c r="GM6" s="30" t="str">
        <f t="shared" si="25"/>
        <v>F</v>
      </c>
      <c r="GN6" s="30" t="str">
        <f t="shared" si="25"/>
        <v>S</v>
      </c>
      <c r="GO6" s="30" t="str">
        <f t="shared" si="25"/>
        <v>S</v>
      </c>
    </row>
    <row r="7" spans="1:247" s="20" customFormat="1" ht="30" hidden="1" customHeight="1" x14ac:dyDescent="0.2">
      <c r="A7" s="10" t="s">
        <v>18</v>
      </c>
      <c r="B7" s="31"/>
      <c r="C7" s="31"/>
      <c r="D7" s="31"/>
      <c r="E7" s="31"/>
      <c r="F7" s="31"/>
      <c r="H7" s="20" t="str">
        <f>IF(OR(ISBLANK(task_start),ISBLANK(task_end)),"",task_end-task_start+1)</f>
        <v/>
      </c>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row>
    <row r="8" spans="1:247" s="38" customFormat="1" ht="30" customHeight="1" thickBot="1" x14ac:dyDescent="0.25">
      <c r="A8" s="11"/>
      <c r="B8" s="33" t="s">
        <v>26</v>
      </c>
      <c r="C8" s="33"/>
      <c r="D8" s="34"/>
      <c r="E8" s="35"/>
      <c r="F8" s="36"/>
      <c r="G8" s="12"/>
      <c r="H8" s="3" t="str">
        <f t="shared" ref="H8:H38" si="26">IF(OR(ISBLANK(task_start),ISBLANK(task_end)),"",task_end-task_start+1)</f>
        <v/>
      </c>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row>
    <row r="9" spans="1:247" s="38" customFormat="1" ht="39.950000000000003" customHeight="1" thickBot="1" x14ac:dyDescent="0.25">
      <c r="A9" s="11"/>
      <c r="B9" s="105" t="s">
        <v>51</v>
      </c>
      <c r="C9" s="104" t="s">
        <v>50</v>
      </c>
      <c r="D9" s="39">
        <v>0.5</v>
      </c>
      <c r="E9" s="44"/>
      <c r="F9" s="44"/>
      <c r="G9" s="12"/>
      <c r="H9" s="3" t="str">
        <f t="shared" si="26"/>
        <v/>
      </c>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row>
    <row r="10" spans="1:247" s="38" customFormat="1" ht="30" customHeight="1" thickBot="1" x14ac:dyDescent="0.25">
      <c r="A10" s="11"/>
      <c r="B10" s="107" t="s">
        <v>52</v>
      </c>
      <c r="C10" s="106" t="s">
        <v>50</v>
      </c>
      <c r="D10" s="43">
        <v>0.8</v>
      </c>
      <c r="E10" s="44"/>
      <c r="F10" s="44"/>
      <c r="G10" s="12"/>
      <c r="H10" s="3" t="str">
        <f t="shared" si="26"/>
        <v/>
      </c>
      <c r="I10" s="41"/>
      <c r="J10" s="41"/>
      <c r="K10" s="41"/>
      <c r="L10" s="41"/>
      <c r="M10" s="41"/>
      <c r="N10" s="41"/>
      <c r="O10" s="41"/>
      <c r="P10" s="41"/>
      <c r="Q10" s="41"/>
      <c r="R10" s="41"/>
      <c r="S10" s="41"/>
      <c r="T10" s="41"/>
      <c r="U10" s="45"/>
      <c r="V10" s="45"/>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5"/>
      <c r="BU10" s="45"/>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c r="EI10" s="41"/>
      <c r="EJ10" s="41"/>
      <c r="EK10" s="41"/>
      <c r="EL10" s="41"/>
      <c r="EM10" s="41"/>
      <c r="EN10" s="41"/>
      <c r="EO10" s="41"/>
      <c r="EP10" s="41"/>
      <c r="EQ10" s="41"/>
      <c r="ER10" s="41"/>
      <c r="ES10" s="41"/>
      <c r="ET10" s="41"/>
      <c r="EU10" s="41"/>
      <c r="EV10" s="41"/>
      <c r="EW10" s="41"/>
      <c r="EX10" s="41"/>
      <c r="EY10" s="41"/>
      <c r="EZ10" s="41"/>
      <c r="FA10" s="41"/>
      <c r="FB10" s="41"/>
      <c r="FC10" s="41"/>
      <c r="FD10" s="41"/>
      <c r="FE10" s="41"/>
      <c r="FF10" s="41"/>
      <c r="FG10" s="41"/>
      <c r="FH10" s="41"/>
      <c r="FI10" s="41"/>
      <c r="FJ10" s="41"/>
      <c r="FK10" s="41"/>
      <c r="FL10" s="41"/>
      <c r="FM10" s="41"/>
      <c r="FN10" s="41"/>
      <c r="FO10" s="41"/>
      <c r="FP10" s="41"/>
      <c r="FQ10" s="41"/>
      <c r="FR10" s="41"/>
      <c r="FS10" s="41"/>
      <c r="FT10" s="41"/>
      <c r="FU10" s="41"/>
      <c r="FV10" s="41"/>
      <c r="FW10" s="41"/>
      <c r="FX10" s="41"/>
      <c r="FY10" s="41"/>
      <c r="FZ10" s="41"/>
      <c r="GA10" s="41"/>
      <c r="GB10" s="41"/>
      <c r="GC10" s="41"/>
      <c r="GD10" s="41"/>
      <c r="GE10" s="41"/>
      <c r="GF10" s="41"/>
      <c r="GG10" s="41"/>
      <c r="GH10" s="41"/>
      <c r="GI10" s="41"/>
      <c r="GJ10" s="41"/>
      <c r="GK10" s="41"/>
      <c r="GL10" s="41"/>
      <c r="GM10" s="41"/>
      <c r="GN10" s="41"/>
      <c r="GO10" s="41"/>
    </row>
    <row r="11" spans="1:247" s="38" customFormat="1" ht="30" customHeight="1" thickBot="1" x14ac:dyDescent="0.3">
      <c r="A11" s="10"/>
      <c r="B11" s="108" t="s">
        <v>53</v>
      </c>
      <c r="C11" s="106" t="s">
        <v>50</v>
      </c>
      <c r="D11" s="43" t="s">
        <v>54</v>
      </c>
      <c r="E11" s="44"/>
      <c r="F11" s="44"/>
      <c r="G11" s="12"/>
      <c r="H11" s="3" t="str">
        <f t="shared" si="26"/>
        <v/>
      </c>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c r="EI11" s="41"/>
      <c r="EJ11" s="41"/>
      <c r="EK11" s="41"/>
      <c r="EL11" s="41"/>
      <c r="EM11" s="41"/>
      <c r="EN11" s="41"/>
      <c r="EO11" s="41"/>
      <c r="EP11" s="41"/>
      <c r="EQ11" s="41"/>
      <c r="ER11" s="41"/>
      <c r="ES11" s="41"/>
      <c r="ET11" s="41"/>
      <c r="EU11" s="41"/>
      <c r="EV11" s="41"/>
      <c r="EW11" s="41"/>
      <c r="EX11" s="41"/>
      <c r="EY11" s="41"/>
      <c r="EZ11" s="41"/>
      <c r="FA11" s="41"/>
      <c r="FB11" s="41"/>
      <c r="FC11" s="41"/>
      <c r="FD11" s="41"/>
      <c r="FE11" s="41"/>
      <c r="FF11" s="41"/>
      <c r="FG11" s="41"/>
      <c r="FH11" s="41"/>
      <c r="FI11" s="41"/>
      <c r="FJ11" s="41"/>
      <c r="FK11" s="41"/>
      <c r="FL11" s="41"/>
      <c r="FM11" s="41"/>
      <c r="FN11" s="41"/>
      <c r="FO11" s="41"/>
      <c r="FP11" s="41"/>
      <c r="FQ11" s="41"/>
      <c r="FR11" s="41"/>
      <c r="FS11" s="41"/>
      <c r="FT11" s="41"/>
      <c r="FU11" s="41"/>
      <c r="FV11" s="41"/>
      <c r="FW11" s="41"/>
      <c r="FX11" s="41"/>
      <c r="FY11" s="41"/>
      <c r="FZ11" s="41"/>
      <c r="GA11" s="41"/>
      <c r="GB11" s="41"/>
      <c r="GC11" s="41"/>
      <c r="GD11" s="41"/>
      <c r="GE11" s="41"/>
      <c r="GF11" s="41"/>
      <c r="GG11" s="41"/>
      <c r="GH11" s="41"/>
      <c r="GI11" s="41"/>
      <c r="GJ11" s="41"/>
      <c r="GK11" s="41"/>
      <c r="GL11" s="41"/>
      <c r="GM11" s="41"/>
      <c r="GN11" s="41"/>
      <c r="GO11" s="41"/>
      <c r="HY11" s="101"/>
      <c r="HZ11" s="101"/>
      <c r="IC11" s="101"/>
      <c r="ID11" s="101"/>
      <c r="IE11" s="101"/>
      <c r="IF11" s="101"/>
      <c r="IG11" s="101"/>
      <c r="IH11" s="101"/>
      <c r="II11" s="101"/>
      <c r="IJ11" s="101"/>
      <c r="IK11" s="101"/>
      <c r="IL11" s="101"/>
      <c r="IM11" s="101"/>
    </row>
    <row r="12" spans="1:247" s="38" customFormat="1" ht="30" customHeight="1" thickBot="1" x14ac:dyDescent="0.25">
      <c r="A12" s="11"/>
      <c r="B12" s="46" t="s">
        <v>55</v>
      </c>
      <c r="C12" s="46"/>
      <c r="D12" s="47"/>
      <c r="E12" s="48"/>
      <c r="F12" s="49"/>
      <c r="G12" s="12"/>
      <c r="H12" s="3" t="str">
        <f t="shared" si="26"/>
        <v/>
      </c>
      <c r="BQ12" s="41"/>
    </row>
    <row r="13" spans="1:247" s="38" customFormat="1" ht="30" customHeight="1" thickBot="1" x14ac:dyDescent="0.25">
      <c r="A13" s="11"/>
      <c r="B13" s="109" t="s">
        <v>61</v>
      </c>
      <c r="C13" s="99" t="s">
        <v>50</v>
      </c>
      <c r="D13" s="50">
        <v>0.4</v>
      </c>
      <c r="E13" s="51"/>
      <c r="F13" s="51"/>
      <c r="G13" s="12"/>
      <c r="H13" s="3" t="str">
        <f t="shared" si="26"/>
        <v/>
      </c>
      <c r="I13" s="41"/>
      <c r="J13" s="79"/>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row>
    <row r="14" spans="1:247" s="38" customFormat="1" ht="30" customHeight="1" thickBot="1" x14ac:dyDescent="0.25">
      <c r="A14" s="10"/>
      <c r="B14" s="110" t="s">
        <v>60</v>
      </c>
      <c r="C14" s="99" t="s">
        <v>50</v>
      </c>
      <c r="D14" s="50">
        <v>0.2</v>
      </c>
      <c r="E14" s="51"/>
      <c r="F14" s="51"/>
      <c r="G14" s="12"/>
      <c r="H14" s="3" t="str">
        <f t="shared" si="26"/>
        <v/>
      </c>
      <c r="I14" s="41"/>
      <c r="J14" s="41"/>
      <c r="K14" s="41"/>
      <c r="L14" s="41"/>
      <c r="M14" s="41"/>
      <c r="N14" s="41"/>
      <c r="O14" s="41"/>
      <c r="P14" s="41"/>
      <c r="Q14" s="41"/>
      <c r="R14" s="41"/>
      <c r="S14" s="41"/>
      <c r="T14" s="41"/>
      <c r="U14" s="45"/>
      <c r="V14" s="45"/>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5"/>
      <c r="BU14" s="45"/>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c r="EH14" s="41"/>
      <c r="EI14" s="41"/>
      <c r="EJ14" s="41"/>
      <c r="EK14" s="41"/>
      <c r="EL14" s="41"/>
      <c r="EM14" s="41"/>
      <c r="EN14" s="41"/>
      <c r="EO14" s="41"/>
      <c r="EP14" s="41"/>
      <c r="EQ14" s="41"/>
      <c r="ER14" s="41"/>
      <c r="ES14" s="41"/>
      <c r="ET14" s="41"/>
      <c r="EU14" s="41"/>
      <c r="EV14" s="41"/>
      <c r="EW14" s="41"/>
      <c r="EX14" s="41"/>
      <c r="EY14" s="41"/>
      <c r="EZ14" s="41"/>
      <c r="FA14" s="41"/>
      <c r="FB14" s="41"/>
      <c r="FC14" s="41"/>
      <c r="FD14" s="41"/>
      <c r="FE14" s="41"/>
      <c r="FF14" s="41"/>
      <c r="FG14" s="41"/>
      <c r="FH14" s="41"/>
      <c r="FI14" s="41"/>
      <c r="FJ14" s="41"/>
      <c r="FK14" s="41"/>
      <c r="FL14" s="41"/>
      <c r="FM14" s="41"/>
      <c r="FN14" s="41"/>
      <c r="FO14" s="41"/>
      <c r="FP14" s="41"/>
      <c r="FQ14" s="41"/>
      <c r="FR14" s="41"/>
      <c r="FS14" s="41"/>
      <c r="FT14" s="41"/>
      <c r="FU14" s="41"/>
      <c r="FV14" s="41"/>
      <c r="FW14" s="41"/>
      <c r="FX14" s="41"/>
      <c r="FY14" s="41"/>
      <c r="FZ14" s="41"/>
      <c r="GA14" s="41"/>
      <c r="GB14" s="41"/>
      <c r="GC14" s="41"/>
      <c r="GD14" s="41"/>
      <c r="GE14" s="41"/>
      <c r="GF14" s="41"/>
      <c r="GG14" s="41"/>
      <c r="GH14" s="41"/>
      <c r="GI14" s="41"/>
      <c r="GJ14" s="41"/>
      <c r="GK14" s="41"/>
      <c r="GL14" s="41"/>
      <c r="GM14" s="41"/>
      <c r="GN14" s="41"/>
      <c r="GO14" s="41"/>
    </row>
    <row r="15" spans="1:247" s="38" customFormat="1" ht="30" customHeight="1" thickBot="1" x14ac:dyDescent="0.25">
      <c r="A15" s="10"/>
      <c r="B15" s="110" t="s">
        <v>64</v>
      </c>
      <c r="C15" s="99" t="s">
        <v>50</v>
      </c>
      <c r="D15" s="50" t="s">
        <v>54</v>
      </c>
      <c r="E15" s="51"/>
      <c r="F15" s="51"/>
      <c r="G15" s="12"/>
      <c r="H15" s="3"/>
      <c r="I15" s="41"/>
      <c r="J15" s="41"/>
      <c r="K15" s="41"/>
      <c r="L15" s="41"/>
      <c r="M15" s="41"/>
      <c r="N15" s="41"/>
      <c r="O15" s="41"/>
      <c r="P15" s="41"/>
      <c r="Q15" s="41"/>
      <c r="R15" s="41"/>
      <c r="S15" s="41"/>
      <c r="T15" s="41"/>
      <c r="U15" s="45"/>
      <c r="V15" s="45"/>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5"/>
      <c r="BU15" s="45"/>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c r="EH15" s="41"/>
      <c r="EI15" s="41"/>
      <c r="EJ15" s="41"/>
      <c r="EK15" s="41"/>
      <c r="EL15" s="41"/>
      <c r="EM15" s="41"/>
      <c r="EN15" s="41"/>
      <c r="EO15" s="41"/>
      <c r="EP15" s="41"/>
      <c r="EQ15" s="41"/>
      <c r="ER15" s="41"/>
      <c r="ES15" s="41"/>
      <c r="ET15" s="41"/>
      <c r="EU15" s="41"/>
      <c r="EV15" s="41"/>
      <c r="EW15" s="41"/>
      <c r="EX15" s="41"/>
      <c r="EY15" s="41"/>
      <c r="EZ15" s="41"/>
      <c r="FA15" s="41"/>
      <c r="FB15" s="41"/>
      <c r="FC15" s="41"/>
      <c r="FD15" s="41"/>
      <c r="FE15" s="41"/>
      <c r="FF15" s="41"/>
      <c r="FG15" s="41"/>
      <c r="FH15" s="41"/>
      <c r="FI15" s="41"/>
      <c r="FJ15" s="41"/>
      <c r="FK15" s="41"/>
      <c r="FL15" s="41"/>
      <c r="FM15" s="41"/>
      <c r="FN15" s="41"/>
      <c r="FO15" s="41"/>
      <c r="FP15" s="41"/>
      <c r="FQ15" s="41"/>
      <c r="FR15" s="41"/>
      <c r="FS15" s="41"/>
      <c r="FT15" s="41"/>
      <c r="FU15" s="41"/>
      <c r="FV15" s="41"/>
      <c r="FW15" s="41"/>
      <c r="FX15" s="41"/>
      <c r="FY15" s="41"/>
      <c r="FZ15" s="41"/>
      <c r="GA15" s="41"/>
      <c r="GB15" s="41"/>
      <c r="GC15" s="41"/>
      <c r="GD15" s="41"/>
      <c r="GE15" s="41"/>
      <c r="GF15" s="41"/>
      <c r="GG15" s="41"/>
      <c r="GH15" s="41"/>
      <c r="GI15" s="41"/>
      <c r="GJ15" s="41"/>
      <c r="GK15" s="41"/>
      <c r="GL15" s="41"/>
      <c r="GM15" s="41"/>
      <c r="GN15" s="41"/>
      <c r="GO15" s="41"/>
    </row>
    <row r="16" spans="1:247" s="38" customFormat="1" ht="30" customHeight="1" thickBot="1" x14ac:dyDescent="0.25">
      <c r="A16" s="10"/>
      <c r="B16" s="110" t="s">
        <v>65</v>
      </c>
      <c r="C16" s="99" t="s">
        <v>50</v>
      </c>
      <c r="D16" s="50" t="s">
        <v>54</v>
      </c>
      <c r="E16" s="51"/>
      <c r="F16" s="51"/>
      <c r="G16" s="12"/>
      <c r="H16" s="3"/>
      <c r="I16" s="41"/>
      <c r="J16" s="41"/>
      <c r="K16" s="41"/>
      <c r="L16" s="41"/>
      <c r="M16" s="41"/>
      <c r="N16" s="41"/>
      <c r="O16" s="41"/>
      <c r="P16" s="41"/>
      <c r="Q16" s="41"/>
      <c r="R16" s="41"/>
      <c r="S16" s="41"/>
      <c r="T16" s="41"/>
      <c r="U16" s="45"/>
      <c r="V16" s="45"/>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5"/>
      <c r="BU16" s="45"/>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c r="DY16" s="41"/>
      <c r="DZ16" s="41"/>
      <c r="EA16" s="41"/>
      <c r="EB16" s="41"/>
      <c r="EC16" s="41"/>
      <c r="ED16" s="41"/>
      <c r="EE16" s="41"/>
      <c r="EF16" s="41"/>
      <c r="EG16" s="41"/>
      <c r="EH16" s="41"/>
      <c r="EI16" s="41"/>
      <c r="EJ16" s="41"/>
      <c r="EK16" s="41"/>
      <c r="EL16" s="41"/>
      <c r="EM16" s="41"/>
      <c r="EN16" s="41"/>
      <c r="EO16" s="41"/>
      <c r="EP16" s="41"/>
      <c r="EQ16" s="41"/>
      <c r="ER16" s="41"/>
      <c r="ES16" s="41"/>
      <c r="ET16" s="41"/>
      <c r="EU16" s="41"/>
      <c r="EV16" s="41"/>
      <c r="EW16" s="41"/>
      <c r="EX16" s="41"/>
      <c r="EY16" s="41"/>
      <c r="EZ16" s="41"/>
      <c r="FA16" s="41"/>
      <c r="FB16" s="41"/>
      <c r="FC16" s="41"/>
      <c r="FD16" s="41"/>
      <c r="FE16" s="41"/>
      <c r="FF16" s="41"/>
      <c r="FG16" s="41"/>
      <c r="FH16" s="41"/>
      <c r="FI16" s="41"/>
      <c r="FJ16" s="41"/>
      <c r="FK16" s="41"/>
      <c r="FL16" s="41"/>
      <c r="FM16" s="41"/>
      <c r="FN16" s="41"/>
      <c r="FO16" s="41"/>
      <c r="FP16" s="41"/>
      <c r="FQ16" s="41"/>
      <c r="FR16" s="41"/>
      <c r="FS16" s="41"/>
      <c r="FT16" s="41"/>
      <c r="FU16" s="41"/>
      <c r="FV16" s="41"/>
      <c r="FW16" s="41"/>
      <c r="FX16" s="41"/>
      <c r="FY16" s="41"/>
      <c r="FZ16" s="41"/>
      <c r="GA16" s="41"/>
      <c r="GB16" s="41"/>
      <c r="GC16" s="41"/>
      <c r="GD16" s="41"/>
      <c r="GE16" s="41"/>
      <c r="GF16" s="41"/>
      <c r="GG16" s="41"/>
      <c r="GH16" s="41"/>
      <c r="GI16" s="41"/>
      <c r="GJ16" s="41"/>
      <c r="GK16" s="41"/>
      <c r="GL16" s="41"/>
      <c r="GM16" s="41"/>
      <c r="GN16" s="41"/>
      <c r="GO16" s="41"/>
    </row>
    <row r="17" spans="1:197" s="38" customFormat="1" ht="30" customHeight="1" thickBot="1" x14ac:dyDescent="0.25">
      <c r="A17" s="10"/>
      <c r="B17" s="110" t="s">
        <v>62</v>
      </c>
      <c r="C17" s="99" t="s">
        <v>86</v>
      </c>
      <c r="D17" s="50" t="s">
        <v>54</v>
      </c>
      <c r="E17" s="51"/>
      <c r="F17" s="51"/>
      <c r="G17" s="12"/>
      <c r="H17" s="3"/>
      <c r="I17" s="41"/>
      <c r="J17" s="41"/>
      <c r="K17" s="41"/>
      <c r="L17" s="41"/>
      <c r="M17" s="41"/>
      <c r="N17" s="41"/>
      <c r="O17" s="41"/>
      <c r="P17" s="41"/>
      <c r="Q17" s="41"/>
      <c r="R17" s="41"/>
      <c r="S17" s="41"/>
      <c r="T17" s="41"/>
      <c r="U17" s="45"/>
      <c r="V17" s="45"/>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5"/>
      <c r="BU17" s="45"/>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row>
    <row r="18" spans="1:197" s="38" customFormat="1" ht="30" customHeight="1" thickBot="1" x14ac:dyDescent="0.25">
      <c r="A18" s="10"/>
      <c r="B18" s="110" t="s">
        <v>63</v>
      </c>
      <c r="C18" s="99" t="s">
        <v>85</v>
      </c>
      <c r="D18" s="50">
        <v>0.1</v>
      </c>
      <c r="E18" s="51"/>
      <c r="F18" s="51"/>
      <c r="G18" s="12"/>
      <c r="H18" s="3" t="str">
        <f t="shared" si="26"/>
        <v/>
      </c>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1"/>
      <c r="DM18" s="41"/>
      <c r="DN18" s="41"/>
      <c r="DO18" s="41"/>
      <c r="DP18" s="41"/>
      <c r="DQ18" s="41"/>
      <c r="DR18" s="41"/>
      <c r="DS18" s="41"/>
      <c r="DT18" s="41"/>
      <c r="DU18" s="41"/>
      <c r="DV18" s="41"/>
      <c r="DW18" s="41"/>
      <c r="DX18" s="41"/>
      <c r="DY18" s="41"/>
      <c r="DZ18" s="41"/>
      <c r="EA18" s="41"/>
      <c r="EB18" s="41"/>
      <c r="EC18" s="41"/>
      <c r="ED18" s="41"/>
      <c r="EE18" s="41"/>
      <c r="EF18" s="41"/>
      <c r="EG18" s="41"/>
      <c r="EH18" s="41"/>
      <c r="EI18" s="41"/>
      <c r="EJ18" s="41"/>
      <c r="EK18" s="41"/>
      <c r="EL18" s="41"/>
      <c r="EM18" s="41"/>
      <c r="EN18" s="41"/>
      <c r="EO18" s="41"/>
      <c r="EP18" s="41"/>
      <c r="EQ18" s="41"/>
      <c r="ER18" s="41"/>
      <c r="ES18" s="41"/>
      <c r="ET18" s="41"/>
      <c r="EU18" s="41"/>
      <c r="EV18" s="41"/>
      <c r="EW18" s="41"/>
      <c r="EX18" s="41"/>
      <c r="EY18" s="41"/>
      <c r="EZ18" s="41"/>
      <c r="FA18" s="41"/>
      <c r="FB18" s="41"/>
      <c r="FC18" s="41"/>
      <c r="FD18" s="41"/>
      <c r="FE18" s="41"/>
      <c r="FF18" s="41"/>
      <c r="FG18" s="41"/>
      <c r="FH18" s="41"/>
      <c r="FI18" s="41"/>
      <c r="FJ18" s="41"/>
      <c r="FK18" s="41"/>
      <c r="FL18" s="41"/>
      <c r="FM18" s="41"/>
      <c r="FN18" s="41"/>
      <c r="FO18" s="41"/>
      <c r="FP18" s="41"/>
      <c r="FQ18" s="41"/>
      <c r="FR18" s="41"/>
      <c r="FS18" s="41"/>
      <c r="FT18" s="41"/>
      <c r="FU18" s="41"/>
      <c r="FV18" s="41"/>
      <c r="FW18" s="41"/>
      <c r="FX18" s="41"/>
      <c r="FY18" s="41"/>
      <c r="FZ18" s="41"/>
      <c r="GA18" s="41"/>
      <c r="GB18" s="41"/>
      <c r="GC18" s="41"/>
      <c r="GD18" s="41"/>
      <c r="GE18" s="41"/>
      <c r="GF18" s="41"/>
      <c r="GG18" s="41"/>
      <c r="GH18" s="41"/>
      <c r="GI18" s="41"/>
      <c r="GJ18" s="41"/>
      <c r="GK18" s="41"/>
      <c r="GL18" s="41"/>
      <c r="GM18" s="41"/>
      <c r="GN18" s="41"/>
      <c r="GO18" s="41"/>
    </row>
    <row r="19" spans="1:197" s="38" customFormat="1" ht="30" customHeight="1" thickBot="1" x14ac:dyDescent="0.25">
      <c r="A19" s="10"/>
      <c r="B19" s="52" t="s">
        <v>56</v>
      </c>
      <c r="C19" s="52"/>
      <c r="D19" s="53"/>
      <c r="E19" s="54"/>
      <c r="F19" s="55"/>
      <c r="G19" s="12"/>
      <c r="H19" s="3" t="str">
        <f t="shared" si="26"/>
        <v/>
      </c>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row>
    <row r="20" spans="1:197" s="38" customFormat="1" ht="39.950000000000003" customHeight="1" thickBot="1" x14ac:dyDescent="0.25">
      <c r="A20" s="10"/>
      <c r="B20" s="111" t="s">
        <v>66</v>
      </c>
      <c r="C20" s="94" t="s">
        <v>68</v>
      </c>
      <c r="D20" s="58">
        <v>0</v>
      </c>
      <c r="E20" s="59"/>
      <c r="F20" s="59"/>
      <c r="G20" s="12"/>
      <c r="H20" s="3" t="str">
        <f t="shared" si="26"/>
        <v/>
      </c>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c r="CT20" s="41"/>
      <c r="CU20" s="41"/>
      <c r="CV20" s="41"/>
      <c r="CW20" s="41"/>
      <c r="CX20" s="41"/>
      <c r="CY20" s="41"/>
      <c r="CZ20" s="41"/>
      <c r="DA20" s="41"/>
      <c r="DB20" s="41"/>
      <c r="DC20" s="41"/>
      <c r="DD20" s="41"/>
      <c r="DE20" s="41"/>
      <c r="DF20" s="41"/>
      <c r="DG20" s="41"/>
      <c r="DH20" s="41"/>
      <c r="DI20" s="41"/>
      <c r="DJ20" s="41"/>
      <c r="DK20" s="41"/>
      <c r="DL20" s="41"/>
      <c r="DM20" s="41"/>
      <c r="DN20" s="41"/>
      <c r="DO20" s="41"/>
      <c r="DP20" s="41"/>
      <c r="DQ20" s="41"/>
      <c r="DR20" s="41"/>
      <c r="DS20" s="41"/>
      <c r="DT20" s="41"/>
      <c r="DU20" s="41"/>
      <c r="DV20" s="41"/>
      <c r="DW20" s="41"/>
      <c r="DX20" s="41"/>
      <c r="DY20" s="41"/>
      <c r="DZ20" s="41"/>
      <c r="EA20" s="41"/>
      <c r="EB20" s="41"/>
      <c r="EC20" s="41"/>
      <c r="ED20" s="41"/>
      <c r="EE20" s="41"/>
      <c r="EF20" s="41"/>
      <c r="EG20" s="41"/>
      <c r="EH20" s="41"/>
      <c r="EI20" s="41"/>
      <c r="EJ20" s="41"/>
      <c r="EK20" s="41"/>
      <c r="EL20" s="41"/>
      <c r="EM20" s="41"/>
      <c r="EN20" s="41"/>
      <c r="EO20" s="41"/>
      <c r="EP20" s="41"/>
      <c r="EQ20" s="41"/>
      <c r="ER20" s="41"/>
      <c r="ES20" s="41"/>
      <c r="ET20" s="41"/>
      <c r="EU20" s="41"/>
      <c r="EV20" s="41"/>
      <c r="EW20" s="41"/>
      <c r="EX20" s="41"/>
      <c r="EY20" s="41"/>
      <c r="EZ20" s="41"/>
      <c r="FA20" s="41"/>
      <c r="FB20" s="41"/>
      <c r="FC20" s="41"/>
      <c r="FD20" s="41"/>
      <c r="FE20" s="41"/>
      <c r="FF20" s="41"/>
      <c r="FG20" s="41"/>
      <c r="FH20" s="41"/>
      <c r="FI20" s="41"/>
      <c r="FJ20" s="41"/>
      <c r="FK20" s="41"/>
      <c r="FL20" s="41"/>
      <c r="FM20" s="41"/>
      <c r="FN20" s="41"/>
      <c r="FO20" s="41"/>
      <c r="FP20" s="41"/>
      <c r="FQ20" s="41"/>
      <c r="FR20" s="41"/>
      <c r="FS20" s="41"/>
      <c r="FT20" s="41"/>
      <c r="FU20" s="41"/>
      <c r="FV20" s="41"/>
      <c r="FW20" s="41"/>
      <c r="FX20" s="41"/>
      <c r="FY20" s="41"/>
      <c r="FZ20" s="41"/>
      <c r="GA20" s="41"/>
      <c r="GB20" s="41"/>
      <c r="GC20" s="41"/>
      <c r="GD20" s="41"/>
      <c r="GE20" s="41"/>
      <c r="GF20" s="41"/>
      <c r="GG20" s="41"/>
      <c r="GH20" s="41"/>
      <c r="GI20" s="41"/>
      <c r="GJ20" s="41"/>
      <c r="GK20" s="41"/>
      <c r="GL20" s="41"/>
      <c r="GM20" s="41"/>
      <c r="GN20" s="41"/>
      <c r="GO20" s="41"/>
    </row>
    <row r="21" spans="1:197" s="38" customFormat="1" ht="30" customHeight="1" thickBot="1" x14ac:dyDescent="0.25">
      <c r="A21" s="10"/>
      <c r="B21" s="111" t="s">
        <v>67</v>
      </c>
      <c r="C21" s="94" t="s">
        <v>68</v>
      </c>
      <c r="D21" s="58">
        <v>0</v>
      </c>
      <c r="E21" s="59"/>
      <c r="F21" s="59"/>
      <c r="G21" s="12"/>
      <c r="H21" s="3" t="str">
        <f t="shared" si="26"/>
        <v/>
      </c>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c r="EC21" s="41"/>
      <c r="ED21" s="41"/>
      <c r="EE21" s="41"/>
      <c r="EF21" s="41"/>
      <c r="EG21" s="41"/>
      <c r="EH21" s="41"/>
      <c r="EI21" s="41"/>
      <c r="EJ21" s="41"/>
      <c r="EK21" s="41"/>
      <c r="EL21" s="41"/>
      <c r="EM21" s="41"/>
      <c r="EN21" s="41"/>
      <c r="EO21" s="41"/>
      <c r="EP21" s="41"/>
      <c r="EQ21" s="41"/>
      <c r="ER21" s="41"/>
      <c r="ES21" s="41"/>
      <c r="ET21" s="41"/>
      <c r="EU21" s="41"/>
      <c r="EV21" s="41"/>
      <c r="EW21" s="41"/>
      <c r="EX21" s="41"/>
      <c r="EY21" s="41"/>
      <c r="EZ21" s="41"/>
      <c r="FA21" s="41"/>
      <c r="FB21" s="41"/>
      <c r="FC21" s="41"/>
      <c r="FD21" s="41"/>
      <c r="FE21" s="41"/>
      <c r="FF21" s="41"/>
      <c r="FG21" s="41"/>
      <c r="FH21" s="41"/>
      <c r="FI21" s="41"/>
      <c r="FJ21" s="41"/>
      <c r="FK21" s="41"/>
      <c r="FL21" s="41"/>
      <c r="FM21" s="41"/>
      <c r="FN21" s="41"/>
      <c r="FO21" s="41"/>
      <c r="FP21" s="41"/>
      <c r="FQ21" s="41"/>
      <c r="FR21" s="41"/>
      <c r="FS21" s="41"/>
      <c r="FT21" s="41"/>
      <c r="FU21" s="41"/>
      <c r="FV21" s="41"/>
      <c r="FW21" s="41"/>
      <c r="FX21" s="41"/>
      <c r="FY21" s="41"/>
      <c r="FZ21" s="41"/>
      <c r="GA21" s="41"/>
      <c r="GB21" s="41"/>
      <c r="GC21" s="41"/>
      <c r="GD21" s="41"/>
      <c r="GE21" s="41"/>
      <c r="GF21" s="41"/>
      <c r="GG21" s="41"/>
      <c r="GH21" s="41"/>
      <c r="GI21" s="41"/>
      <c r="GJ21" s="41"/>
      <c r="GK21" s="41"/>
      <c r="GL21" s="41"/>
      <c r="GM21" s="41"/>
      <c r="GN21" s="41"/>
      <c r="GO21" s="41"/>
    </row>
    <row r="22" spans="1:197" s="38" customFormat="1" ht="39.950000000000003" customHeight="1" thickBot="1" x14ac:dyDescent="0.25">
      <c r="A22" s="10"/>
      <c r="B22" s="111" t="s">
        <v>69</v>
      </c>
      <c r="C22" s="57" t="s">
        <v>77</v>
      </c>
      <c r="D22" s="58">
        <v>0</v>
      </c>
      <c r="E22" s="59"/>
      <c r="F22" s="59"/>
      <c r="G22" s="12"/>
      <c r="H22" s="3" t="str">
        <f t="shared" si="26"/>
        <v/>
      </c>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c r="DY22" s="41"/>
      <c r="DZ22" s="41"/>
      <c r="EA22" s="41"/>
      <c r="EB22" s="41"/>
      <c r="EC22" s="41"/>
      <c r="ED22" s="41"/>
      <c r="EE22" s="41"/>
      <c r="EF22" s="41"/>
      <c r="EG22" s="41"/>
      <c r="EH22" s="41"/>
      <c r="EI22" s="41"/>
      <c r="EJ22" s="41"/>
      <c r="EK22" s="41"/>
      <c r="EL22" s="41"/>
      <c r="EM22" s="41"/>
      <c r="EN22" s="41"/>
      <c r="EO22" s="41"/>
      <c r="EP22" s="41"/>
      <c r="EQ22" s="41"/>
      <c r="ER22" s="41"/>
      <c r="ES22" s="41"/>
      <c r="ET22" s="41"/>
      <c r="EU22" s="41"/>
      <c r="EV22" s="41"/>
      <c r="EW22" s="41"/>
      <c r="EX22" s="41"/>
      <c r="EY22" s="41"/>
      <c r="EZ22" s="41"/>
      <c r="FA22" s="41"/>
      <c r="FB22" s="41"/>
      <c r="FC22" s="41"/>
      <c r="FD22" s="41"/>
      <c r="FE22" s="41"/>
      <c r="FF22" s="41"/>
      <c r="FG22" s="41"/>
      <c r="FH22" s="41"/>
      <c r="FI22" s="41"/>
      <c r="FJ22" s="41"/>
      <c r="FK22" s="41"/>
      <c r="FL22" s="41"/>
      <c r="FM22" s="41"/>
      <c r="FN22" s="41"/>
      <c r="FO22" s="41"/>
      <c r="FP22" s="41"/>
      <c r="FQ22" s="41"/>
      <c r="FR22" s="41"/>
      <c r="FS22" s="41"/>
      <c r="FT22" s="41"/>
      <c r="FU22" s="41"/>
      <c r="FV22" s="41"/>
      <c r="FW22" s="41"/>
      <c r="FX22" s="41"/>
      <c r="FY22" s="41"/>
      <c r="FZ22" s="41"/>
      <c r="GA22" s="41"/>
      <c r="GB22" s="41"/>
      <c r="GC22" s="41"/>
      <c r="GD22" s="41"/>
      <c r="GE22" s="41"/>
      <c r="GF22" s="41"/>
      <c r="GG22" s="41"/>
      <c r="GH22" s="41"/>
      <c r="GI22" s="41"/>
      <c r="GJ22" s="41"/>
      <c r="GK22" s="41"/>
      <c r="GL22" s="41"/>
      <c r="GM22" s="41"/>
      <c r="GN22" s="41"/>
      <c r="GO22" s="41"/>
    </row>
    <row r="23" spans="1:197" s="38" customFormat="1" ht="30" customHeight="1" thickBot="1" x14ac:dyDescent="0.25">
      <c r="A23" s="10"/>
      <c r="B23" s="60" t="s">
        <v>57</v>
      </c>
      <c r="C23" s="60"/>
      <c r="D23" s="61"/>
      <c r="E23" s="62"/>
      <c r="F23" s="63"/>
      <c r="G23" s="12"/>
      <c r="H23" s="3" t="str">
        <f t="shared" si="26"/>
        <v/>
      </c>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c r="BD23" s="64"/>
      <c r="BE23" s="64"/>
      <c r="BF23" s="64"/>
      <c r="BG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c r="CT23" s="64"/>
      <c r="CU23" s="64"/>
      <c r="CV23" s="64"/>
      <c r="CW23" s="64"/>
      <c r="CX23" s="64"/>
      <c r="CY23" s="64"/>
      <c r="CZ23" s="64"/>
      <c r="DA23" s="64"/>
      <c r="DB23" s="64"/>
      <c r="DC23" s="64"/>
      <c r="DD23" s="64"/>
      <c r="DE23" s="64"/>
      <c r="DF23" s="64"/>
      <c r="DG23" s="64"/>
      <c r="DH23" s="64"/>
      <c r="DI23" s="64"/>
      <c r="DJ23" s="64"/>
      <c r="DK23" s="64"/>
      <c r="DL23" s="64"/>
      <c r="DM23" s="64"/>
      <c r="DN23" s="64"/>
      <c r="DO23" s="64"/>
      <c r="DP23" s="64"/>
      <c r="DQ23" s="64"/>
      <c r="DR23" s="64"/>
      <c r="DS23" s="64"/>
      <c r="DT23" s="64"/>
      <c r="DU23" s="64"/>
      <c r="DV23" s="64"/>
      <c r="DW23" s="64"/>
      <c r="DX23" s="64"/>
      <c r="DY23" s="64"/>
      <c r="DZ23" s="64"/>
      <c r="EA23" s="64"/>
      <c r="EB23" s="64"/>
      <c r="EC23" s="64"/>
      <c r="ED23" s="64"/>
      <c r="EE23" s="64"/>
      <c r="EF23" s="64"/>
      <c r="EG23" s="64"/>
      <c r="EH23" s="64"/>
      <c r="EI23" s="64"/>
      <c r="EJ23" s="64"/>
      <c r="EK23" s="64"/>
      <c r="EL23" s="64"/>
      <c r="EM23" s="64"/>
      <c r="EN23" s="64"/>
      <c r="EO23" s="64"/>
      <c r="EP23" s="64"/>
      <c r="EQ23" s="64"/>
      <c r="ER23" s="64"/>
      <c r="ES23" s="64"/>
      <c r="ET23" s="64"/>
      <c r="EU23" s="64"/>
      <c r="EV23" s="64"/>
      <c r="EW23" s="64"/>
      <c r="EX23" s="64"/>
      <c r="EY23" s="64"/>
      <c r="EZ23" s="64"/>
      <c r="FA23" s="64"/>
      <c r="FB23" s="64"/>
      <c r="FC23" s="64"/>
      <c r="FD23" s="64"/>
      <c r="FE23" s="64"/>
      <c r="FF23" s="64"/>
      <c r="FG23" s="64"/>
      <c r="FH23" s="64"/>
      <c r="FI23" s="64"/>
      <c r="FJ23" s="64"/>
      <c r="FK23" s="64"/>
      <c r="FL23" s="64"/>
      <c r="FM23" s="64"/>
      <c r="FN23" s="64"/>
      <c r="FO23" s="64"/>
      <c r="FP23" s="64"/>
      <c r="FQ23" s="64"/>
      <c r="FR23" s="64"/>
      <c r="FS23" s="64"/>
      <c r="FT23" s="64"/>
      <c r="FU23" s="64"/>
      <c r="FV23" s="64"/>
      <c r="FW23" s="64"/>
      <c r="FX23" s="64"/>
      <c r="FY23" s="64"/>
      <c r="FZ23" s="64"/>
      <c r="GA23" s="64"/>
      <c r="GB23" s="64"/>
      <c r="GC23" s="64"/>
      <c r="GD23" s="64"/>
      <c r="GE23" s="64"/>
      <c r="GF23" s="64"/>
      <c r="GG23" s="64"/>
      <c r="GH23" s="64"/>
      <c r="GI23" s="64"/>
      <c r="GJ23" s="64"/>
      <c r="GK23" s="64"/>
      <c r="GL23" s="64"/>
      <c r="GM23" s="64"/>
      <c r="GN23" s="64"/>
      <c r="GO23" s="64"/>
    </row>
    <row r="24" spans="1:197" s="38" customFormat="1" ht="39.950000000000003" customHeight="1" thickBot="1" x14ac:dyDescent="0.25">
      <c r="A24" s="10"/>
      <c r="B24" s="112" t="s">
        <v>70</v>
      </c>
      <c r="C24" s="95" t="s">
        <v>78</v>
      </c>
      <c r="D24" s="66">
        <v>0</v>
      </c>
      <c r="E24" s="67"/>
      <c r="F24" s="67"/>
      <c r="G24" s="12"/>
      <c r="H24" s="3" t="str">
        <f t="shared" si="26"/>
        <v/>
      </c>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c r="CT24" s="41"/>
      <c r="CU24" s="41"/>
      <c r="CV24" s="41"/>
      <c r="CW24" s="41"/>
      <c r="CX24" s="41"/>
      <c r="CY24" s="41"/>
      <c r="CZ24" s="41"/>
      <c r="DA24" s="41"/>
      <c r="DB24" s="41"/>
      <c r="DC24" s="41"/>
      <c r="DD24" s="41"/>
      <c r="DE24" s="41"/>
      <c r="DF24" s="41"/>
      <c r="DG24" s="41"/>
      <c r="DH24" s="41"/>
      <c r="DI24" s="41"/>
      <c r="DJ24" s="41"/>
      <c r="DK24" s="41"/>
      <c r="DL24" s="41"/>
      <c r="DM24" s="41"/>
      <c r="DN24" s="41"/>
      <c r="DO24" s="41"/>
      <c r="DP24" s="41"/>
      <c r="DQ24" s="41"/>
      <c r="DR24" s="41"/>
      <c r="DS24" s="41"/>
      <c r="DT24" s="41"/>
      <c r="DU24" s="41"/>
      <c r="DV24" s="41"/>
      <c r="DW24" s="41"/>
      <c r="DX24" s="41"/>
      <c r="DY24" s="41"/>
      <c r="DZ24" s="41"/>
      <c r="EA24" s="41"/>
      <c r="EB24" s="41"/>
      <c r="EC24" s="41"/>
      <c r="ED24" s="41"/>
      <c r="EE24" s="41"/>
      <c r="EF24" s="41"/>
      <c r="EG24" s="41"/>
      <c r="EH24" s="41"/>
      <c r="EI24" s="41"/>
      <c r="EJ24" s="41"/>
      <c r="EK24" s="41"/>
      <c r="EL24" s="41"/>
      <c r="EM24" s="41"/>
      <c r="EN24" s="41"/>
      <c r="EO24" s="41"/>
      <c r="EP24" s="41"/>
      <c r="EQ24" s="41"/>
      <c r="ER24" s="41"/>
      <c r="ES24" s="41"/>
      <c r="ET24" s="41"/>
      <c r="EU24" s="41"/>
      <c r="EV24" s="41"/>
      <c r="EW24" s="41"/>
      <c r="EX24" s="41"/>
      <c r="EY24" s="41"/>
      <c r="EZ24" s="41"/>
      <c r="FA24" s="41"/>
      <c r="FB24" s="41"/>
      <c r="FC24" s="41"/>
      <c r="FD24" s="41"/>
      <c r="FE24" s="41"/>
      <c r="FF24" s="41"/>
      <c r="FG24" s="41"/>
      <c r="FH24" s="41"/>
      <c r="FI24" s="41"/>
      <c r="FJ24" s="41"/>
      <c r="FK24" s="41"/>
      <c r="FL24" s="41"/>
      <c r="FM24" s="41"/>
      <c r="FN24" s="41"/>
      <c r="FO24" s="41"/>
      <c r="FP24" s="41"/>
      <c r="FQ24" s="41"/>
      <c r="FR24" s="41"/>
      <c r="FS24" s="41"/>
      <c r="FT24" s="41"/>
      <c r="FU24" s="41"/>
      <c r="FV24" s="41"/>
      <c r="FW24" s="41"/>
      <c r="FX24" s="41"/>
      <c r="FY24" s="41"/>
      <c r="FZ24" s="41"/>
      <c r="GA24" s="41"/>
      <c r="GB24" s="41"/>
      <c r="GC24" s="41"/>
      <c r="GD24" s="41"/>
      <c r="GE24" s="41"/>
      <c r="GF24" s="41"/>
      <c r="GG24" s="41"/>
      <c r="GH24" s="41"/>
      <c r="GI24" s="41"/>
      <c r="GJ24" s="41"/>
      <c r="GK24" s="41"/>
      <c r="GL24" s="41"/>
      <c r="GM24" s="41"/>
      <c r="GN24" s="41"/>
      <c r="GO24" s="41"/>
    </row>
    <row r="25" spans="1:197" s="38" customFormat="1" ht="39.950000000000003" customHeight="1" thickBot="1" x14ac:dyDescent="0.25">
      <c r="A25" s="10"/>
      <c r="B25" s="112" t="s">
        <v>71</v>
      </c>
      <c r="C25" s="65" t="s">
        <v>79</v>
      </c>
      <c r="D25" s="66">
        <v>0</v>
      </c>
      <c r="E25" s="67"/>
      <c r="F25" s="67"/>
      <c r="G25" s="12"/>
      <c r="H25" s="3" t="str">
        <f t="shared" si="26"/>
        <v/>
      </c>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41"/>
      <c r="CM25" s="41"/>
      <c r="CN25" s="41"/>
      <c r="CO25" s="41"/>
      <c r="CP25" s="41"/>
      <c r="CQ25" s="41"/>
      <c r="CR25" s="41"/>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c r="DY25" s="41"/>
      <c r="DZ25" s="41"/>
      <c r="EA25" s="41"/>
      <c r="EB25" s="41"/>
      <c r="EC25" s="41"/>
      <c r="ED25" s="41"/>
      <c r="EE25" s="41"/>
      <c r="EF25" s="41"/>
      <c r="EG25" s="41"/>
      <c r="EH25" s="41"/>
      <c r="EI25" s="41"/>
      <c r="EJ25" s="41"/>
      <c r="EK25" s="41"/>
      <c r="EL25" s="41"/>
      <c r="EM25" s="41"/>
      <c r="EN25" s="41"/>
      <c r="EO25" s="41"/>
      <c r="EP25" s="41"/>
      <c r="EQ25" s="41"/>
      <c r="ER25" s="41"/>
      <c r="ES25" s="41"/>
      <c r="ET25" s="41"/>
      <c r="EU25" s="41"/>
      <c r="EV25" s="41"/>
      <c r="EW25" s="41"/>
      <c r="EX25" s="41"/>
      <c r="EY25" s="41"/>
      <c r="EZ25" s="41"/>
      <c r="FA25" s="41"/>
      <c r="FB25" s="41"/>
      <c r="FC25" s="41"/>
      <c r="FD25" s="41"/>
      <c r="FE25" s="41"/>
      <c r="FF25" s="41"/>
      <c r="FG25" s="41"/>
      <c r="FH25" s="41"/>
      <c r="FI25" s="41"/>
      <c r="FJ25" s="41"/>
      <c r="FK25" s="41"/>
      <c r="FL25" s="41"/>
      <c r="FM25" s="41"/>
      <c r="FN25" s="41"/>
      <c r="FO25" s="41"/>
      <c r="FP25" s="41"/>
      <c r="FQ25" s="41"/>
      <c r="FR25" s="41"/>
      <c r="FS25" s="41"/>
      <c r="FT25" s="41"/>
      <c r="FU25" s="41"/>
      <c r="FV25" s="41"/>
      <c r="FW25" s="41"/>
      <c r="FX25" s="41"/>
      <c r="FY25" s="41"/>
      <c r="FZ25" s="41"/>
      <c r="GA25" s="41"/>
      <c r="GB25" s="41"/>
      <c r="GC25" s="41"/>
      <c r="GD25" s="41"/>
      <c r="GE25" s="41"/>
      <c r="GF25" s="41"/>
      <c r="GG25" s="41"/>
      <c r="GH25" s="41"/>
      <c r="GI25" s="41"/>
      <c r="GJ25" s="41"/>
      <c r="GK25" s="41"/>
      <c r="GL25" s="41"/>
      <c r="GM25" s="41"/>
      <c r="GN25" s="41"/>
      <c r="GO25" s="41"/>
    </row>
    <row r="26" spans="1:197" s="38" customFormat="1" ht="39.950000000000003" customHeight="1" thickBot="1" x14ac:dyDescent="0.25">
      <c r="A26" s="10"/>
      <c r="B26" s="112" t="s">
        <v>72</v>
      </c>
      <c r="C26" s="95" t="s">
        <v>80</v>
      </c>
      <c r="D26" s="66">
        <v>0</v>
      </c>
      <c r="E26" s="67"/>
      <c r="F26" s="67"/>
      <c r="G26" s="12"/>
      <c r="H26" s="3"/>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c r="CV26" s="41"/>
      <c r="CW26" s="41"/>
      <c r="CX26" s="41"/>
      <c r="CY26" s="41"/>
      <c r="CZ26" s="41"/>
      <c r="DA26" s="41"/>
      <c r="DB26" s="41"/>
      <c r="DC26" s="41"/>
      <c r="DD26" s="41"/>
      <c r="DE26" s="41"/>
      <c r="DF26" s="41"/>
      <c r="DG26" s="41"/>
      <c r="DH26" s="41"/>
      <c r="DI26" s="41"/>
      <c r="DJ26" s="41"/>
      <c r="DK26" s="41"/>
      <c r="DL26" s="41"/>
      <c r="DM26" s="41"/>
      <c r="DN26" s="41"/>
      <c r="DO26" s="41"/>
      <c r="DP26" s="41"/>
      <c r="DQ26" s="41"/>
      <c r="DR26" s="41"/>
      <c r="DS26" s="41"/>
      <c r="DT26" s="41"/>
      <c r="DU26" s="41"/>
      <c r="DV26" s="41"/>
      <c r="DW26" s="41"/>
      <c r="DX26" s="41"/>
      <c r="DY26" s="41"/>
      <c r="DZ26" s="41"/>
      <c r="EA26" s="41"/>
      <c r="EB26" s="41"/>
      <c r="EC26" s="41"/>
      <c r="ED26" s="41"/>
      <c r="EE26" s="41"/>
      <c r="EF26" s="41"/>
      <c r="EG26" s="41"/>
      <c r="EH26" s="41"/>
      <c r="EI26" s="41"/>
      <c r="EJ26" s="41"/>
      <c r="EK26" s="41"/>
      <c r="EL26" s="41"/>
      <c r="EM26" s="41"/>
      <c r="EN26" s="41"/>
      <c r="EO26" s="41"/>
      <c r="EP26" s="41"/>
      <c r="EQ26" s="41"/>
      <c r="ER26" s="41"/>
      <c r="ES26" s="41"/>
      <c r="ET26" s="41"/>
      <c r="EU26" s="41"/>
      <c r="EV26" s="41"/>
      <c r="EW26" s="41"/>
      <c r="EX26" s="41"/>
      <c r="EY26" s="41"/>
      <c r="EZ26" s="41"/>
      <c r="FA26" s="41"/>
      <c r="FB26" s="41"/>
      <c r="FC26" s="41"/>
      <c r="FD26" s="41"/>
      <c r="FE26" s="41"/>
      <c r="FF26" s="41"/>
      <c r="FG26" s="41"/>
      <c r="FH26" s="41"/>
      <c r="FI26" s="41"/>
      <c r="FJ26" s="41"/>
      <c r="FK26" s="41"/>
      <c r="FL26" s="41"/>
      <c r="FM26" s="41"/>
      <c r="FN26" s="41"/>
      <c r="FO26" s="41"/>
      <c r="FP26" s="41"/>
      <c r="FQ26" s="41"/>
      <c r="FR26" s="41"/>
      <c r="FS26" s="41"/>
      <c r="FT26" s="41"/>
      <c r="FU26" s="41"/>
      <c r="FV26" s="41"/>
      <c r="FW26" s="41"/>
      <c r="FX26" s="41"/>
      <c r="FY26" s="41"/>
      <c r="FZ26" s="41"/>
      <c r="GA26" s="41"/>
      <c r="GB26" s="41"/>
      <c r="GC26" s="41"/>
      <c r="GD26" s="41"/>
      <c r="GE26" s="41"/>
      <c r="GF26" s="41"/>
      <c r="GG26" s="41"/>
      <c r="GH26" s="41"/>
      <c r="GI26" s="41"/>
      <c r="GJ26" s="41"/>
      <c r="GK26" s="41"/>
      <c r="GL26" s="41"/>
      <c r="GM26" s="41"/>
      <c r="GN26" s="41"/>
      <c r="GO26" s="41"/>
    </row>
    <row r="27" spans="1:197" s="38" customFormat="1" ht="39.950000000000003" customHeight="1" thickBot="1" x14ac:dyDescent="0.25">
      <c r="A27" s="10"/>
      <c r="B27" s="112" t="s">
        <v>73</v>
      </c>
      <c r="C27" s="95" t="s">
        <v>81</v>
      </c>
      <c r="D27" s="66">
        <v>0</v>
      </c>
      <c r="E27" s="67"/>
      <c r="F27" s="67"/>
      <c r="G27" s="12"/>
      <c r="H27" s="3"/>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c r="DY27" s="41"/>
      <c r="DZ27" s="41"/>
      <c r="EA27" s="41"/>
      <c r="EB27" s="41"/>
      <c r="EC27" s="41"/>
      <c r="ED27" s="41"/>
      <c r="EE27" s="41"/>
      <c r="EF27" s="41"/>
      <c r="EG27" s="41"/>
      <c r="EH27" s="41"/>
      <c r="EI27" s="41"/>
      <c r="EJ27" s="41"/>
      <c r="EK27" s="41"/>
      <c r="EL27" s="41"/>
      <c r="EM27" s="41"/>
      <c r="EN27" s="41"/>
      <c r="EO27" s="41"/>
      <c r="EP27" s="41"/>
      <c r="EQ27" s="41"/>
      <c r="ER27" s="41"/>
      <c r="ES27" s="41"/>
      <c r="ET27" s="41"/>
      <c r="EU27" s="41"/>
      <c r="EV27" s="41"/>
      <c r="EW27" s="41"/>
      <c r="EX27" s="41"/>
      <c r="EY27" s="41"/>
      <c r="EZ27" s="41"/>
      <c r="FA27" s="41"/>
      <c r="FB27" s="41"/>
      <c r="FC27" s="41"/>
      <c r="FD27" s="41"/>
      <c r="FE27" s="41"/>
      <c r="FF27" s="41"/>
      <c r="FG27" s="41"/>
      <c r="FH27" s="41"/>
      <c r="FI27" s="41"/>
      <c r="FJ27" s="41"/>
      <c r="FK27" s="41"/>
      <c r="FL27" s="41"/>
      <c r="FM27" s="41"/>
      <c r="FN27" s="41"/>
      <c r="FO27" s="41"/>
      <c r="FP27" s="41"/>
      <c r="FQ27" s="41"/>
      <c r="FR27" s="41"/>
      <c r="FS27" s="41"/>
      <c r="FT27" s="41"/>
      <c r="FU27" s="41"/>
      <c r="FV27" s="41"/>
      <c r="FW27" s="41"/>
      <c r="FX27" s="41"/>
      <c r="FY27" s="41"/>
      <c r="FZ27" s="41"/>
      <c r="GA27" s="41"/>
      <c r="GB27" s="41"/>
      <c r="GC27" s="41"/>
      <c r="GD27" s="41"/>
      <c r="GE27" s="41"/>
      <c r="GF27" s="41"/>
      <c r="GG27" s="41"/>
      <c r="GH27" s="41"/>
      <c r="GI27" s="41"/>
      <c r="GJ27" s="41"/>
      <c r="GK27" s="41"/>
      <c r="GL27" s="41"/>
      <c r="GM27" s="41"/>
      <c r="GN27" s="41"/>
      <c r="GO27" s="41"/>
    </row>
    <row r="28" spans="1:197" s="38" customFormat="1" ht="39.950000000000003" customHeight="1" thickBot="1" x14ac:dyDescent="0.25">
      <c r="A28" s="10"/>
      <c r="B28" s="113" t="s">
        <v>74</v>
      </c>
      <c r="C28" s="95" t="s">
        <v>82</v>
      </c>
      <c r="D28" s="66">
        <v>0</v>
      </c>
      <c r="E28" s="67"/>
      <c r="F28" s="67"/>
      <c r="G28" s="12"/>
      <c r="H28" s="3"/>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c r="DC28" s="41"/>
      <c r="DD28" s="41"/>
      <c r="DE28" s="41"/>
      <c r="DF28" s="41"/>
      <c r="DG28" s="41"/>
      <c r="DH28" s="41"/>
      <c r="DI28" s="41"/>
      <c r="DJ28" s="41"/>
      <c r="DK28" s="41"/>
      <c r="DL28" s="41"/>
      <c r="DM28" s="41"/>
      <c r="DN28" s="41"/>
      <c r="DO28" s="41"/>
      <c r="DP28" s="41"/>
      <c r="DQ28" s="41"/>
      <c r="DR28" s="41"/>
      <c r="DS28" s="41"/>
      <c r="DT28" s="41"/>
      <c r="DU28" s="41"/>
      <c r="DV28" s="41"/>
      <c r="DW28" s="41"/>
      <c r="DX28" s="41"/>
      <c r="DY28" s="41"/>
      <c r="DZ28" s="41"/>
      <c r="EA28" s="41"/>
      <c r="EB28" s="41"/>
      <c r="EC28" s="41"/>
      <c r="ED28" s="41"/>
      <c r="EE28" s="41"/>
      <c r="EF28" s="41"/>
      <c r="EG28" s="41"/>
      <c r="EH28" s="41"/>
      <c r="EI28" s="41"/>
      <c r="EJ28" s="41"/>
      <c r="EK28" s="41"/>
      <c r="EL28" s="41"/>
      <c r="EM28" s="41"/>
      <c r="EN28" s="41"/>
      <c r="EO28" s="41"/>
      <c r="EP28" s="41"/>
      <c r="EQ28" s="41"/>
      <c r="ER28" s="41"/>
      <c r="ES28" s="41"/>
      <c r="ET28" s="41"/>
      <c r="EU28" s="41"/>
      <c r="EV28" s="41"/>
      <c r="EW28" s="41"/>
      <c r="EX28" s="41"/>
      <c r="EY28" s="41"/>
      <c r="EZ28" s="41"/>
      <c r="FA28" s="41"/>
      <c r="FB28" s="41"/>
      <c r="FC28" s="41"/>
      <c r="FD28" s="41"/>
      <c r="FE28" s="41"/>
      <c r="FF28" s="41"/>
      <c r="FG28" s="41"/>
      <c r="FH28" s="41"/>
      <c r="FI28" s="41"/>
      <c r="FJ28" s="41"/>
      <c r="FK28" s="41"/>
      <c r="FL28" s="41"/>
      <c r="FM28" s="41"/>
      <c r="FN28" s="41"/>
      <c r="FO28" s="41"/>
      <c r="FP28" s="41"/>
      <c r="FQ28" s="41"/>
      <c r="FR28" s="41"/>
      <c r="FS28" s="41"/>
      <c r="FT28" s="41"/>
      <c r="FU28" s="41"/>
      <c r="FV28" s="41"/>
      <c r="FW28" s="41"/>
      <c r="FX28" s="41"/>
      <c r="FY28" s="41"/>
      <c r="FZ28" s="41"/>
      <c r="GA28" s="41"/>
      <c r="GB28" s="41"/>
      <c r="GC28" s="41"/>
      <c r="GD28" s="41"/>
      <c r="GE28" s="41"/>
      <c r="GF28" s="41"/>
      <c r="GG28" s="41"/>
      <c r="GH28" s="41"/>
      <c r="GI28" s="41"/>
      <c r="GJ28" s="41"/>
      <c r="GK28" s="41"/>
      <c r="GL28" s="41"/>
      <c r="GM28" s="41"/>
      <c r="GN28" s="41"/>
      <c r="GO28" s="41"/>
    </row>
    <row r="29" spans="1:197" s="38" customFormat="1" ht="39.950000000000003" customHeight="1" thickBot="1" x14ac:dyDescent="0.25">
      <c r="A29" s="10"/>
      <c r="B29" s="113" t="s">
        <v>75</v>
      </c>
      <c r="C29" s="95" t="s">
        <v>83</v>
      </c>
      <c r="D29" s="66">
        <v>0</v>
      </c>
      <c r="E29" s="67"/>
      <c r="F29" s="67"/>
      <c r="G29" s="12"/>
      <c r="H29" s="3"/>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41"/>
      <c r="DX29" s="41"/>
      <c r="DY29" s="41"/>
      <c r="DZ29" s="41"/>
      <c r="EA29" s="41"/>
      <c r="EB29" s="41"/>
      <c r="EC29" s="41"/>
      <c r="ED29" s="41"/>
      <c r="EE29" s="41"/>
      <c r="EF29" s="41"/>
      <c r="EG29" s="41"/>
      <c r="EH29" s="41"/>
      <c r="EI29" s="41"/>
      <c r="EJ29" s="41"/>
      <c r="EK29" s="41"/>
      <c r="EL29" s="41"/>
      <c r="EM29" s="41"/>
      <c r="EN29" s="41"/>
      <c r="EO29" s="41"/>
      <c r="EP29" s="41"/>
      <c r="EQ29" s="41"/>
      <c r="ER29" s="41"/>
      <c r="ES29" s="41"/>
      <c r="ET29" s="41"/>
      <c r="EU29" s="41"/>
      <c r="EV29" s="41"/>
      <c r="EW29" s="41"/>
      <c r="EX29" s="41"/>
      <c r="EY29" s="41"/>
      <c r="EZ29" s="41"/>
      <c r="FA29" s="41"/>
      <c r="FB29" s="41"/>
      <c r="FC29" s="41"/>
      <c r="FD29" s="41"/>
      <c r="FE29" s="41"/>
      <c r="FF29" s="41"/>
      <c r="FG29" s="41"/>
      <c r="FH29" s="41"/>
      <c r="FI29" s="41"/>
      <c r="FJ29" s="41"/>
      <c r="FK29" s="41"/>
      <c r="FL29" s="41"/>
      <c r="FM29" s="41"/>
      <c r="FN29" s="41"/>
      <c r="FO29" s="41"/>
      <c r="FP29" s="41"/>
      <c r="FQ29" s="41"/>
      <c r="FR29" s="41"/>
      <c r="FS29" s="41"/>
      <c r="FT29" s="41"/>
      <c r="FU29" s="41"/>
      <c r="FV29" s="41"/>
      <c r="FW29" s="41"/>
      <c r="FX29" s="41"/>
      <c r="FY29" s="41"/>
      <c r="FZ29" s="41"/>
      <c r="GA29" s="41"/>
      <c r="GB29" s="41"/>
      <c r="GC29" s="41"/>
      <c r="GD29" s="41"/>
      <c r="GE29" s="41"/>
      <c r="GF29" s="41"/>
      <c r="GG29" s="41"/>
      <c r="GH29" s="41"/>
      <c r="GI29" s="41"/>
      <c r="GJ29" s="41"/>
      <c r="GK29" s="41"/>
      <c r="GL29" s="41"/>
      <c r="GM29" s="41"/>
      <c r="GN29" s="41"/>
      <c r="GO29" s="41"/>
    </row>
    <row r="30" spans="1:197" s="38" customFormat="1" ht="39.950000000000003" customHeight="1" thickBot="1" x14ac:dyDescent="0.25">
      <c r="A30" s="10"/>
      <c r="B30" s="113" t="s">
        <v>76</v>
      </c>
      <c r="C30" s="95" t="s">
        <v>84</v>
      </c>
      <c r="D30" s="66">
        <v>0</v>
      </c>
      <c r="E30" s="67"/>
      <c r="F30" s="67"/>
      <c r="G30" s="12"/>
      <c r="H30" s="3" t="str">
        <f t="shared" si="26"/>
        <v/>
      </c>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41"/>
      <c r="DX30" s="41"/>
      <c r="DY30" s="41"/>
      <c r="DZ30" s="41"/>
      <c r="EA30" s="41"/>
      <c r="EB30" s="41"/>
      <c r="EC30" s="41"/>
      <c r="ED30" s="41"/>
      <c r="EE30" s="41"/>
      <c r="EF30" s="41"/>
      <c r="EG30" s="41"/>
      <c r="EH30" s="41"/>
      <c r="EI30" s="41"/>
      <c r="EJ30" s="41"/>
      <c r="EK30" s="41"/>
      <c r="EL30" s="41"/>
      <c r="EM30" s="41"/>
      <c r="EN30" s="41"/>
      <c r="EO30" s="41"/>
      <c r="EP30" s="41"/>
      <c r="EQ30" s="41"/>
      <c r="ER30" s="41"/>
      <c r="ES30" s="41"/>
      <c r="ET30" s="41"/>
      <c r="EU30" s="41"/>
      <c r="EV30" s="41"/>
      <c r="EW30" s="41"/>
      <c r="EX30" s="41"/>
      <c r="EY30" s="41"/>
      <c r="EZ30" s="41"/>
      <c r="FA30" s="41"/>
      <c r="FB30" s="41"/>
      <c r="FC30" s="41"/>
      <c r="FD30" s="41"/>
      <c r="FE30" s="41"/>
      <c r="FF30" s="41"/>
      <c r="FG30" s="41"/>
      <c r="FH30" s="41"/>
      <c r="FI30" s="41"/>
      <c r="FJ30" s="41"/>
      <c r="FK30" s="41"/>
      <c r="FL30" s="41"/>
      <c r="FM30" s="41"/>
      <c r="FN30" s="41"/>
      <c r="FO30" s="41"/>
      <c r="FP30" s="41"/>
      <c r="FQ30" s="41"/>
      <c r="FR30" s="41"/>
      <c r="FS30" s="41"/>
      <c r="FT30" s="41"/>
      <c r="FU30" s="41"/>
      <c r="FV30" s="41"/>
      <c r="FW30" s="41"/>
      <c r="FX30" s="41"/>
      <c r="FY30" s="41"/>
      <c r="FZ30" s="41"/>
      <c r="GA30" s="41"/>
      <c r="GB30" s="41"/>
      <c r="GC30" s="41"/>
      <c r="GD30" s="41"/>
      <c r="GE30" s="41"/>
      <c r="GF30" s="41"/>
      <c r="GG30" s="41"/>
      <c r="GH30" s="41"/>
      <c r="GI30" s="41"/>
      <c r="GJ30" s="41"/>
      <c r="GK30" s="41"/>
      <c r="GL30" s="41"/>
      <c r="GM30" s="41"/>
      <c r="GN30" s="41"/>
      <c r="GO30" s="41"/>
    </row>
    <row r="31" spans="1:197" s="38" customFormat="1" ht="30" customHeight="1" thickBot="1" x14ac:dyDescent="0.25">
      <c r="A31" s="10"/>
      <c r="B31" s="80" t="s">
        <v>58</v>
      </c>
      <c r="C31" s="80"/>
      <c r="D31" s="81"/>
      <c r="E31" s="82"/>
      <c r="F31" s="83"/>
      <c r="G31" s="12"/>
      <c r="H31" s="3" t="str">
        <f t="shared" si="26"/>
        <v/>
      </c>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4"/>
      <c r="BK31" s="64"/>
      <c r="BL31" s="64"/>
      <c r="BM31" s="64"/>
      <c r="BN31" s="64"/>
      <c r="BO31" s="64"/>
      <c r="BP31" s="64"/>
      <c r="BQ31" s="64"/>
      <c r="BR31" s="64"/>
      <c r="BS31" s="64"/>
      <c r="BT31" s="64"/>
      <c r="BU31" s="64"/>
      <c r="BV31" s="64"/>
      <c r="BW31" s="64"/>
      <c r="BX31" s="64"/>
      <c r="BY31" s="64"/>
      <c r="BZ31" s="64"/>
      <c r="CA31" s="64"/>
      <c r="CB31" s="64"/>
      <c r="CC31" s="64"/>
      <c r="CD31" s="64"/>
      <c r="CE31" s="64"/>
      <c r="CF31" s="64"/>
      <c r="CG31" s="64"/>
      <c r="CH31" s="64"/>
      <c r="CI31" s="64"/>
      <c r="CJ31" s="64"/>
      <c r="CK31" s="64"/>
      <c r="CL31" s="64"/>
      <c r="CM31" s="64"/>
      <c r="CN31" s="64"/>
      <c r="CO31" s="64"/>
      <c r="CP31" s="64"/>
      <c r="CQ31" s="64"/>
      <c r="CR31" s="64"/>
      <c r="CS31" s="64"/>
      <c r="CT31" s="64"/>
      <c r="CU31" s="64"/>
      <c r="CV31" s="64"/>
      <c r="CW31" s="64"/>
      <c r="CX31" s="64"/>
      <c r="CY31" s="64"/>
      <c r="CZ31" s="64"/>
      <c r="DA31" s="64"/>
      <c r="DB31" s="64"/>
      <c r="DC31" s="64"/>
      <c r="DD31" s="64"/>
      <c r="DE31" s="64"/>
      <c r="DF31" s="64"/>
      <c r="DG31" s="64"/>
      <c r="DH31" s="64"/>
      <c r="DI31" s="64"/>
      <c r="DJ31" s="64"/>
      <c r="DK31" s="64"/>
      <c r="DL31" s="64"/>
      <c r="DM31" s="64"/>
      <c r="DN31" s="64"/>
      <c r="DO31" s="64"/>
      <c r="DP31" s="64"/>
      <c r="DQ31" s="64"/>
      <c r="DR31" s="64"/>
      <c r="DS31" s="64"/>
      <c r="DT31" s="64"/>
      <c r="DU31" s="64"/>
      <c r="DV31" s="64"/>
      <c r="DW31" s="64"/>
      <c r="DX31" s="64"/>
      <c r="DY31" s="64"/>
      <c r="DZ31" s="64"/>
      <c r="EA31" s="64"/>
      <c r="EB31" s="64"/>
      <c r="EC31" s="64"/>
      <c r="ED31" s="64"/>
      <c r="EE31" s="64"/>
      <c r="EF31" s="64"/>
      <c r="EG31" s="64"/>
      <c r="EH31" s="64"/>
      <c r="EI31" s="64"/>
      <c r="EJ31" s="64"/>
      <c r="EK31" s="64"/>
      <c r="EL31" s="64"/>
      <c r="EM31" s="64"/>
      <c r="EN31" s="64"/>
      <c r="EO31" s="64"/>
      <c r="EP31" s="64"/>
      <c r="EQ31" s="64"/>
      <c r="ER31" s="64"/>
      <c r="ES31" s="64"/>
      <c r="ET31" s="64"/>
      <c r="EU31" s="64"/>
      <c r="EV31" s="64"/>
      <c r="EW31" s="64"/>
      <c r="EX31" s="64"/>
      <c r="EY31" s="64"/>
      <c r="EZ31" s="64"/>
      <c r="FA31" s="64"/>
      <c r="FB31" s="64"/>
      <c r="FC31" s="64"/>
      <c r="FD31" s="64"/>
      <c r="FE31" s="64"/>
      <c r="FF31" s="64"/>
      <c r="FG31" s="64"/>
      <c r="FH31" s="64"/>
      <c r="FI31" s="64"/>
      <c r="FJ31" s="64"/>
      <c r="FK31" s="64"/>
      <c r="FL31" s="64"/>
      <c r="FM31" s="64"/>
      <c r="FN31" s="64"/>
      <c r="FO31" s="64"/>
      <c r="FP31" s="64"/>
      <c r="FQ31" s="64"/>
      <c r="FR31" s="64"/>
      <c r="FS31" s="64"/>
      <c r="FT31" s="64"/>
      <c r="FU31" s="64"/>
      <c r="FV31" s="64"/>
      <c r="FW31" s="64"/>
      <c r="FX31" s="64"/>
      <c r="FY31" s="64"/>
      <c r="FZ31" s="64"/>
      <c r="GA31" s="64"/>
      <c r="GB31" s="64"/>
      <c r="GC31" s="64"/>
      <c r="GD31" s="64"/>
      <c r="GE31" s="64"/>
      <c r="GF31" s="64"/>
      <c r="GG31" s="64"/>
      <c r="GH31" s="64"/>
      <c r="GI31" s="64"/>
      <c r="GJ31" s="64"/>
      <c r="GK31" s="64"/>
      <c r="GL31" s="64"/>
      <c r="GM31" s="64"/>
      <c r="GN31" s="64"/>
      <c r="GO31" s="64"/>
    </row>
    <row r="32" spans="1:197" s="38" customFormat="1" ht="30" customHeight="1" thickBot="1" x14ac:dyDescent="0.25">
      <c r="A32" s="10"/>
      <c r="B32" s="84"/>
      <c r="C32" s="84"/>
      <c r="D32" s="85">
        <v>0</v>
      </c>
      <c r="E32" s="86"/>
      <c r="F32" s="86"/>
      <c r="G32" s="12"/>
      <c r="H32" s="3" t="str">
        <f t="shared" si="26"/>
        <v/>
      </c>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98"/>
      <c r="CN32" s="98"/>
      <c r="CO32" s="98"/>
      <c r="CP32" s="98"/>
      <c r="CQ32" s="41"/>
      <c r="CR32" s="41"/>
      <c r="CS32" s="41"/>
      <c r="CT32" s="41"/>
      <c r="CU32" s="41"/>
      <c r="CV32" s="41"/>
      <c r="CW32" s="41"/>
      <c r="CX32" s="41"/>
      <c r="CY32" s="41"/>
      <c r="CZ32" s="41"/>
      <c r="DA32" s="41"/>
      <c r="DB32" s="41"/>
      <c r="DC32" s="41"/>
      <c r="DD32" s="41"/>
      <c r="DE32" s="41"/>
      <c r="DF32" s="41"/>
      <c r="DG32" s="41"/>
      <c r="DH32" s="41"/>
      <c r="DI32" s="41"/>
      <c r="DJ32" s="41"/>
      <c r="DK32" s="41"/>
      <c r="DL32" s="41"/>
      <c r="DM32" s="41"/>
      <c r="DN32" s="41"/>
      <c r="DO32" s="41"/>
      <c r="DP32" s="41"/>
      <c r="DQ32" s="41"/>
      <c r="DR32" s="41"/>
      <c r="DS32" s="41"/>
      <c r="DT32" s="41"/>
      <c r="DU32" s="41"/>
      <c r="DV32" s="41"/>
      <c r="DW32" s="41"/>
      <c r="DX32" s="41"/>
      <c r="DY32" s="41"/>
      <c r="DZ32" s="41"/>
      <c r="EA32" s="41"/>
      <c r="EB32" s="41"/>
      <c r="EC32" s="41"/>
      <c r="ED32" s="41"/>
      <c r="EE32" s="41"/>
      <c r="EF32" s="41"/>
      <c r="EG32" s="41"/>
      <c r="EH32" s="41"/>
      <c r="EI32" s="41"/>
      <c r="EJ32" s="41"/>
      <c r="EK32" s="41"/>
      <c r="EL32" s="41"/>
      <c r="EM32" s="41"/>
      <c r="EN32" s="41"/>
      <c r="EO32" s="41"/>
      <c r="EP32" s="41"/>
      <c r="EQ32" s="41"/>
      <c r="ER32" s="41"/>
      <c r="ES32" s="41"/>
      <c r="ET32" s="41"/>
      <c r="EU32" s="41"/>
      <c r="EV32" s="41"/>
      <c r="EW32" s="41"/>
      <c r="EX32" s="41"/>
      <c r="EY32" s="41"/>
      <c r="EZ32" s="41"/>
      <c r="FA32" s="41"/>
      <c r="FB32" s="41"/>
      <c r="FC32" s="41"/>
      <c r="FD32" s="41"/>
      <c r="FE32" s="41"/>
      <c r="FF32" s="41"/>
      <c r="FG32" s="41"/>
      <c r="FH32" s="41"/>
      <c r="FI32" s="41"/>
      <c r="FJ32" s="41"/>
      <c r="FK32" s="41"/>
      <c r="FL32" s="41"/>
      <c r="FM32" s="41"/>
      <c r="FN32" s="41"/>
      <c r="FO32" s="41"/>
      <c r="FP32" s="41"/>
      <c r="FQ32" s="41"/>
      <c r="FR32" s="41"/>
      <c r="FS32" s="41"/>
      <c r="FT32" s="41"/>
      <c r="FU32" s="41"/>
      <c r="FV32" s="41"/>
      <c r="FW32" s="41"/>
      <c r="FX32" s="41"/>
      <c r="FY32" s="41"/>
      <c r="FZ32" s="41"/>
      <c r="GA32" s="41"/>
      <c r="GB32" s="41"/>
      <c r="GC32" s="41"/>
      <c r="GD32" s="41"/>
      <c r="GE32" s="41"/>
      <c r="GF32" s="41"/>
      <c r="GG32" s="41"/>
      <c r="GH32" s="41"/>
      <c r="GI32" s="41"/>
      <c r="GJ32" s="41"/>
      <c r="GK32" s="41"/>
      <c r="GL32" s="41"/>
      <c r="GM32" s="41"/>
      <c r="GN32" s="41"/>
      <c r="GO32" s="41"/>
    </row>
    <row r="33" spans="1:197" s="38" customFormat="1" ht="30" customHeight="1" thickBot="1" x14ac:dyDescent="0.25">
      <c r="A33" s="10"/>
      <c r="B33" s="96"/>
      <c r="C33" s="96"/>
      <c r="D33" s="85">
        <v>0</v>
      </c>
      <c r="E33" s="86"/>
      <c r="F33" s="86"/>
      <c r="G33" s="12"/>
      <c r="H33" s="3" t="str">
        <f t="shared" si="26"/>
        <v/>
      </c>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c r="CT33" s="41"/>
      <c r="CU33" s="41"/>
      <c r="CV33" s="41"/>
      <c r="CW33" s="41"/>
      <c r="CX33" s="41"/>
      <c r="CY33" s="41"/>
      <c r="CZ33" s="41"/>
      <c r="DA33" s="41"/>
      <c r="DB33" s="41"/>
      <c r="DC33" s="41"/>
      <c r="DD33" s="41"/>
      <c r="DE33" s="41"/>
      <c r="DF33" s="41"/>
      <c r="DG33" s="41"/>
      <c r="DH33" s="41"/>
      <c r="DI33" s="41"/>
      <c r="DJ33" s="41"/>
      <c r="DK33" s="41"/>
      <c r="DL33" s="41"/>
      <c r="DM33" s="41"/>
      <c r="DN33" s="41"/>
      <c r="DO33" s="41"/>
      <c r="DP33" s="41"/>
      <c r="DQ33" s="41"/>
      <c r="DR33" s="41"/>
      <c r="DS33" s="41"/>
      <c r="DT33" s="41"/>
      <c r="DU33" s="41"/>
      <c r="DV33" s="41"/>
      <c r="DW33" s="41"/>
      <c r="DX33" s="41"/>
      <c r="DY33" s="41"/>
      <c r="DZ33" s="41"/>
      <c r="EA33" s="41"/>
      <c r="EB33" s="41"/>
      <c r="EC33" s="41"/>
      <c r="ED33" s="41"/>
      <c r="EE33" s="41"/>
      <c r="EF33" s="41"/>
      <c r="EG33" s="41"/>
      <c r="EH33" s="41"/>
      <c r="EI33" s="41"/>
      <c r="EJ33" s="41"/>
      <c r="EK33" s="41"/>
      <c r="EL33" s="41"/>
      <c r="EM33" s="41"/>
      <c r="EN33" s="41"/>
      <c r="EO33" s="41"/>
      <c r="EP33" s="41"/>
      <c r="EQ33" s="41"/>
      <c r="ER33" s="41"/>
      <c r="ES33" s="41"/>
      <c r="ET33" s="41"/>
      <c r="EU33" s="41"/>
      <c r="EV33" s="41"/>
      <c r="EW33" s="41"/>
      <c r="EX33" s="41"/>
      <c r="EY33" s="41"/>
      <c r="EZ33" s="41"/>
      <c r="FA33" s="41"/>
      <c r="FB33" s="41"/>
      <c r="FC33" s="41"/>
      <c r="FD33" s="41"/>
      <c r="FE33" s="41"/>
      <c r="FF33" s="41"/>
      <c r="FG33" s="41"/>
      <c r="FH33" s="41"/>
      <c r="FI33" s="41"/>
      <c r="FJ33" s="41"/>
      <c r="FK33" s="41"/>
      <c r="FL33" s="41"/>
      <c r="FM33" s="41"/>
      <c r="FN33" s="41"/>
      <c r="FO33" s="41"/>
      <c r="FP33" s="41"/>
      <c r="FQ33" s="41"/>
      <c r="FR33" s="41"/>
      <c r="FS33" s="41"/>
      <c r="FT33" s="41"/>
      <c r="FU33" s="41"/>
      <c r="FV33" s="41"/>
      <c r="FW33" s="41"/>
      <c r="FX33" s="41"/>
      <c r="FY33" s="41"/>
      <c r="FZ33" s="41"/>
      <c r="GA33" s="41"/>
      <c r="GB33" s="41"/>
      <c r="GC33" s="41"/>
      <c r="GD33" s="41"/>
      <c r="GE33" s="41"/>
      <c r="GF33" s="41"/>
      <c r="GG33" s="41"/>
      <c r="GH33" s="41"/>
      <c r="GI33" s="41"/>
      <c r="GJ33" s="41"/>
      <c r="GK33" s="41"/>
      <c r="GL33" s="41"/>
      <c r="GM33" s="41"/>
      <c r="GN33" s="41"/>
      <c r="GO33" s="41"/>
    </row>
    <row r="34" spans="1:197" s="38" customFormat="1" ht="30" customHeight="1" thickBot="1" x14ac:dyDescent="0.25">
      <c r="A34" s="10"/>
      <c r="B34" s="84"/>
      <c r="C34" s="84"/>
      <c r="D34" s="85">
        <v>0</v>
      </c>
      <c r="E34" s="86"/>
      <c r="F34" s="86"/>
      <c r="G34" s="12"/>
      <c r="H34" s="3" t="str">
        <f t="shared" si="26"/>
        <v/>
      </c>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41"/>
      <c r="CE34" s="41"/>
      <c r="CF34" s="41"/>
      <c r="CG34" s="41"/>
      <c r="CH34" s="41"/>
      <c r="CI34" s="41"/>
      <c r="CJ34" s="41"/>
      <c r="CK34" s="41"/>
      <c r="CL34" s="41"/>
      <c r="CM34" s="41"/>
      <c r="CN34" s="41"/>
      <c r="CO34" s="41"/>
      <c r="CP34" s="41"/>
      <c r="CQ34" s="41"/>
      <c r="CR34" s="41"/>
      <c r="CS34" s="41"/>
      <c r="CT34" s="41"/>
      <c r="CU34" s="41"/>
      <c r="CV34" s="41"/>
      <c r="CW34" s="41"/>
      <c r="CX34" s="41"/>
      <c r="CY34" s="41"/>
      <c r="CZ34" s="41"/>
      <c r="DA34" s="41"/>
      <c r="DB34" s="41"/>
      <c r="DC34" s="41"/>
      <c r="DD34" s="41"/>
      <c r="DE34" s="41"/>
      <c r="DF34" s="41"/>
      <c r="DG34" s="41"/>
      <c r="DH34" s="41"/>
      <c r="DI34" s="41"/>
      <c r="DJ34" s="41"/>
      <c r="DK34" s="41"/>
      <c r="DL34" s="41"/>
      <c r="DM34" s="41"/>
      <c r="DN34" s="41"/>
      <c r="DO34" s="41"/>
      <c r="DP34" s="41"/>
      <c r="DQ34" s="41"/>
      <c r="DR34" s="41"/>
      <c r="DS34" s="41"/>
      <c r="DT34" s="41"/>
      <c r="DU34" s="41"/>
      <c r="DV34" s="41"/>
      <c r="DW34" s="41"/>
      <c r="DX34" s="41"/>
      <c r="DY34" s="41"/>
      <c r="DZ34" s="41"/>
      <c r="EA34" s="41"/>
      <c r="EB34" s="41"/>
      <c r="EC34" s="41"/>
      <c r="ED34" s="41"/>
      <c r="EE34" s="41"/>
      <c r="EF34" s="41"/>
      <c r="EG34" s="41"/>
      <c r="EH34" s="41"/>
      <c r="EI34" s="41"/>
      <c r="EJ34" s="41"/>
      <c r="EK34" s="41"/>
      <c r="EL34" s="41"/>
      <c r="EM34" s="41"/>
      <c r="EN34" s="41"/>
      <c r="EO34" s="41"/>
      <c r="EP34" s="41"/>
      <c r="EQ34" s="41"/>
      <c r="ER34" s="41"/>
      <c r="ES34" s="41"/>
      <c r="ET34" s="41"/>
      <c r="EU34" s="41"/>
      <c r="EV34" s="41"/>
      <c r="EW34" s="41"/>
      <c r="EX34" s="41"/>
      <c r="EY34" s="41"/>
      <c r="EZ34" s="41"/>
      <c r="FA34" s="41"/>
      <c r="FB34" s="41"/>
      <c r="FC34" s="41"/>
      <c r="FD34" s="41"/>
      <c r="FE34" s="41"/>
      <c r="FF34" s="41"/>
      <c r="FG34" s="41"/>
      <c r="FH34" s="41"/>
      <c r="FI34" s="41"/>
      <c r="FJ34" s="41"/>
      <c r="FK34" s="41"/>
      <c r="FL34" s="41"/>
      <c r="FM34" s="41"/>
      <c r="FN34" s="41"/>
      <c r="FO34" s="41"/>
      <c r="FP34" s="41"/>
      <c r="FQ34" s="41"/>
      <c r="FR34" s="41"/>
      <c r="FS34" s="41"/>
      <c r="FT34" s="41"/>
      <c r="FU34" s="41"/>
      <c r="FV34" s="41"/>
      <c r="FW34" s="41"/>
      <c r="FX34" s="41"/>
      <c r="FY34" s="41"/>
      <c r="FZ34" s="41"/>
      <c r="GA34" s="41"/>
      <c r="GB34" s="41"/>
      <c r="GC34" s="41"/>
      <c r="GD34" s="41"/>
      <c r="GE34" s="41"/>
      <c r="GF34" s="41"/>
      <c r="GG34" s="41"/>
      <c r="GH34" s="41"/>
      <c r="GI34" s="41"/>
      <c r="GJ34" s="41"/>
      <c r="GK34" s="41"/>
      <c r="GL34" s="41"/>
      <c r="GM34" s="41"/>
      <c r="GN34" s="41"/>
      <c r="GO34" s="41"/>
    </row>
    <row r="35" spans="1:197" s="38" customFormat="1" ht="30" customHeight="1" thickBot="1" x14ac:dyDescent="0.25">
      <c r="A35" s="10"/>
      <c r="B35" s="87" t="s">
        <v>59</v>
      </c>
      <c r="C35" s="87"/>
      <c r="D35" s="88"/>
      <c r="E35" s="89"/>
      <c r="F35" s="90"/>
      <c r="G35" s="12"/>
      <c r="H35" s="3" t="str">
        <f t="shared" si="26"/>
        <v/>
      </c>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c r="BI35" s="64"/>
      <c r="BJ35" s="64"/>
      <c r="BK35" s="64"/>
      <c r="BL35" s="64"/>
      <c r="BM35" s="64"/>
      <c r="BN35" s="64"/>
      <c r="BO35" s="64"/>
      <c r="BP35" s="64"/>
      <c r="BQ35" s="64"/>
      <c r="BR35" s="64"/>
      <c r="BS35" s="64"/>
      <c r="BT35" s="64"/>
      <c r="BU35" s="64"/>
      <c r="BV35" s="64"/>
      <c r="BW35" s="64"/>
      <c r="BX35" s="64"/>
      <c r="BY35" s="64"/>
      <c r="BZ35" s="64"/>
      <c r="CA35" s="64"/>
      <c r="CB35" s="64"/>
      <c r="CC35" s="64"/>
      <c r="CD35" s="64"/>
      <c r="CE35" s="64"/>
      <c r="CF35" s="64"/>
      <c r="CG35" s="64"/>
      <c r="CH35" s="64"/>
      <c r="CI35" s="64"/>
      <c r="CJ35" s="64"/>
      <c r="CK35" s="64"/>
      <c r="CL35" s="64"/>
      <c r="CM35" s="64"/>
      <c r="CN35" s="64"/>
      <c r="CO35" s="64"/>
      <c r="CP35" s="64"/>
      <c r="CQ35" s="64"/>
      <c r="CR35" s="64"/>
      <c r="CS35" s="64"/>
      <c r="CT35" s="64"/>
      <c r="CU35" s="64"/>
      <c r="CV35" s="64"/>
      <c r="CW35" s="64"/>
      <c r="CX35" s="64"/>
      <c r="CY35" s="64"/>
      <c r="CZ35" s="64"/>
      <c r="DA35" s="64"/>
      <c r="DB35" s="64"/>
      <c r="DC35" s="64"/>
      <c r="DD35" s="64"/>
      <c r="DE35" s="64"/>
      <c r="DF35" s="64"/>
      <c r="DG35" s="64"/>
      <c r="DH35" s="64"/>
      <c r="DI35" s="64"/>
      <c r="DJ35" s="64"/>
      <c r="DK35" s="64"/>
      <c r="DL35" s="64"/>
      <c r="DM35" s="64"/>
      <c r="DN35" s="64"/>
      <c r="DO35" s="64"/>
      <c r="DP35" s="64"/>
      <c r="DQ35" s="64"/>
      <c r="DR35" s="64"/>
      <c r="DS35" s="64"/>
      <c r="DT35" s="64"/>
      <c r="DU35" s="64"/>
      <c r="DV35" s="64"/>
      <c r="DW35" s="64"/>
      <c r="DX35" s="64"/>
      <c r="DY35" s="64"/>
      <c r="DZ35" s="64"/>
      <c r="EA35" s="64"/>
      <c r="EB35" s="64"/>
      <c r="EC35" s="64"/>
      <c r="ED35" s="64"/>
      <c r="EE35" s="64"/>
      <c r="EF35" s="64"/>
      <c r="EG35" s="64"/>
      <c r="EH35" s="64"/>
      <c r="EI35" s="64"/>
      <c r="EJ35" s="64"/>
      <c r="EK35" s="64"/>
      <c r="EL35" s="64"/>
      <c r="EM35" s="64"/>
      <c r="EN35" s="64"/>
      <c r="EO35" s="64"/>
      <c r="EP35" s="64"/>
      <c r="EQ35" s="64"/>
      <c r="ER35" s="64"/>
      <c r="ES35" s="64"/>
      <c r="ET35" s="64"/>
      <c r="EU35" s="64"/>
      <c r="EV35" s="64"/>
      <c r="EW35" s="64"/>
      <c r="EX35" s="64"/>
      <c r="EY35" s="64"/>
      <c r="EZ35" s="64"/>
      <c r="FA35" s="64"/>
      <c r="FB35" s="64"/>
      <c r="FC35" s="64"/>
      <c r="FD35" s="64"/>
      <c r="FE35" s="64"/>
      <c r="FF35" s="64"/>
      <c r="FG35" s="64"/>
      <c r="FH35" s="64"/>
      <c r="FI35" s="64"/>
      <c r="FJ35" s="64"/>
      <c r="FK35" s="64"/>
      <c r="FL35" s="64"/>
      <c r="FM35" s="64"/>
      <c r="FN35" s="64"/>
      <c r="FO35" s="64"/>
      <c r="FP35" s="64"/>
      <c r="FQ35" s="64"/>
      <c r="FR35" s="64"/>
      <c r="FS35" s="64"/>
      <c r="FT35" s="64"/>
      <c r="FU35" s="64"/>
      <c r="FV35" s="64"/>
      <c r="FW35" s="64"/>
      <c r="FX35" s="64"/>
      <c r="FY35" s="64"/>
      <c r="FZ35" s="64"/>
      <c r="GA35" s="64"/>
      <c r="GB35" s="64"/>
      <c r="GC35" s="64"/>
      <c r="GD35" s="64"/>
      <c r="GE35" s="64"/>
      <c r="GF35" s="64"/>
      <c r="GG35" s="64"/>
      <c r="GH35" s="64"/>
      <c r="GI35" s="64"/>
      <c r="GJ35" s="64"/>
      <c r="GK35" s="64"/>
      <c r="GL35" s="64"/>
      <c r="GM35" s="64"/>
      <c r="GN35" s="64"/>
      <c r="GO35" s="64"/>
    </row>
    <row r="36" spans="1:197" s="38" customFormat="1" ht="30" customHeight="1" thickBot="1" x14ac:dyDescent="0.25">
      <c r="A36" s="10"/>
      <c r="B36" s="91"/>
      <c r="C36" s="91"/>
      <c r="D36" s="92">
        <v>0</v>
      </c>
      <c r="E36" s="93"/>
      <c r="F36" s="93"/>
      <c r="G36" s="12"/>
      <c r="H36" s="3" t="str">
        <f t="shared" si="26"/>
        <v/>
      </c>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41"/>
      <c r="CY36" s="41"/>
      <c r="CZ36" s="41"/>
      <c r="DA36" s="41"/>
      <c r="DB36" s="41"/>
      <c r="DC36" s="41"/>
      <c r="DD36" s="41"/>
      <c r="DE36" s="41"/>
      <c r="DF36" s="41"/>
      <c r="DG36" s="41"/>
      <c r="DH36" s="41"/>
      <c r="DI36" s="41"/>
      <c r="DJ36" s="41"/>
      <c r="DK36" s="41"/>
      <c r="DL36" s="41"/>
      <c r="DM36" s="41"/>
      <c r="DN36" s="41"/>
      <c r="DO36" s="41"/>
      <c r="DP36" s="41"/>
      <c r="DQ36" s="41"/>
      <c r="DR36" s="41"/>
      <c r="DS36" s="41"/>
      <c r="DT36" s="41"/>
      <c r="DU36" s="41"/>
      <c r="DV36" s="41"/>
      <c r="DW36" s="41"/>
      <c r="DX36" s="41"/>
      <c r="DY36" s="41"/>
      <c r="DZ36" s="41"/>
      <c r="EA36" s="41"/>
      <c r="EB36" s="41"/>
      <c r="EC36" s="41"/>
      <c r="ED36" s="41"/>
      <c r="EE36" s="41"/>
      <c r="EF36" s="41"/>
      <c r="EG36" s="41"/>
      <c r="EH36" s="41"/>
      <c r="EI36" s="41"/>
      <c r="EJ36" s="41"/>
      <c r="EK36" s="41"/>
      <c r="EL36" s="41"/>
      <c r="EM36" s="41"/>
      <c r="EN36" s="41"/>
      <c r="EO36" s="41"/>
      <c r="EP36" s="41"/>
      <c r="EQ36" s="41"/>
      <c r="ER36" s="41"/>
      <c r="ES36" s="41"/>
      <c r="ET36" s="41"/>
      <c r="EU36" s="41"/>
      <c r="EV36" s="41"/>
      <c r="EW36" s="41"/>
      <c r="EX36" s="41"/>
      <c r="EY36" s="41"/>
      <c r="EZ36" s="41"/>
      <c r="FA36" s="41"/>
      <c r="FB36" s="41"/>
      <c r="FC36" s="41"/>
      <c r="FD36" s="41"/>
      <c r="FE36" s="41"/>
      <c r="FF36" s="41"/>
      <c r="FG36" s="41"/>
      <c r="FH36" s="41"/>
      <c r="FI36" s="41"/>
      <c r="FJ36" s="41"/>
      <c r="FK36" s="41"/>
      <c r="FL36" s="41"/>
      <c r="FM36" s="41"/>
      <c r="FN36" s="41"/>
      <c r="FO36" s="41"/>
      <c r="FP36" s="41"/>
      <c r="FQ36" s="41"/>
      <c r="FR36" s="41"/>
      <c r="FS36" s="41"/>
      <c r="FT36" s="41"/>
      <c r="FU36" s="41"/>
      <c r="FV36" s="41"/>
      <c r="FW36" s="41"/>
      <c r="FX36" s="41"/>
      <c r="FY36" s="41"/>
      <c r="FZ36" s="41"/>
      <c r="GA36" s="41"/>
      <c r="GB36" s="41"/>
      <c r="GC36" s="41"/>
      <c r="GD36" s="41"/>
      <c r="GE36" s="41"/>
      <c r="GF36" s="41"/>
      <c r="GG36" s="41"/>
      <c r="GH36" s="41"/>
      <c r="GI36" s="41"/>
      <c r="GJ36" s="41"/>
      <c r="GK36" s="41"/>
      <c r="GL36" s="41"/>
      <c r="GM36" s="41"/>
      <c r="GN36" s="41"/>
      <c r="GO36" s="41"/>
    </row>
    <row r="37" spans="1:197" s="38" customFormat="1" ht="30" customHeight="1" thickBot="1" x14ac:dyDescent="0.25">
      <c r="A37" s="10"/>
      <c r="B37" s="97"/>
      <c r="C37" s="97"/>
      <c r="D37" s="92">
        <v>0</v>
      </c>
      <c r="E37" s="93"/>
      <c r="F37" s="93"/>
      <c r="G37" s="12"/>
      <c r="H37" s="3" t="str">
        <f t="shared" si="26"/>
        <v/>
      </c>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c r="CP37" s="41"/>
      <c r="CQ37" s="41"/>
      <c r="CR37" s="41"/>
      <c r="CS37" s="41"/>
      <c r="CT37" s="41"/>
      <c r="CU37" s="41"/>
      <c r="CV37" s="41"/>
      <c r="CW37" s="41"/>
      <c r="CX37" s="41"/>
      <c r="CY37" s="41"/>
      <c r="CZ37" s="41"/>
      <c r="DA37" s="41"/>
      <c r="DB37" s="41"/>
      <c r="DC37" s="41"/>
      <c r="DD37" s="41"/>
      <c r="DE37" s="41"/>
      <c r="DF37" s="41"/>
      <c r="DG37" s="41"/>
      <c r="DH37" s="41"/>
      <c r="DI37" s="41"/>
      <c r="DJ37" s="41"/>
      <c r="DK37" s="41"/>
      <c r="DL37" s="41"/>
      <c r="DM37" s="41"/>
      <c r="DN37" s="41"/>
      <c r="DO37" s="41"/>
      <c r="DP37" s="41"/>
      <c r="DQ37" s="41"/>
      <c r="DR37" s="41"/>
      <c r="DS37" s="41"/>
      <c r="DT37" s="41"/>
      <c r="DU37" s="41"/>
      <c r="DV37" s="41"/>
      <c r="DW37" s="41"/>
      <c r="DX37" s="41"/>
      <c r="DY37" s="41"/>
      <c r="DZ37" s="41"/>
      <c r="EA37" s="41"/>
      <c r="EB37" s="41"/>
      <c r="EC37" s="41"/>
      <c r="ED37" s="41"/>
      <c r="EE37" s="41"/>
      <c r="EF37" s="41"/>
      <c r="EG37" s="41"/>
      <c r="EH37" s="41"/>
      <c r="EI37" s="41"/>
      <c r="EJ37" s="41"/>
      <c r="EK37" s="41"/>
      <c r="EL37" s="41"/>
      <c r="EM37" s="41"/>
      <c r="EN37" s="41"/>
      <c r="EO37" s="41"/>
      <c r="EP37" s="41"/>
      <c r="EQ37" s="41"/>
      <c r="ER37" s="41"/>
      <c r="ES37" s="41"/>
      <c r="ET37" s="41"/>
      <c r="EU37" s="41"/>
      <c r="EV37" s="41"/>
      <c r="EW37" s="41"/>
      <c r="EX37" s="41"/>
      <c r="EY37" s="41"/>
      <c r="EZ37" s="41"/>
      <c r="FA37" s="41"/>
      <c r="FB37" s="41"/>
      <c r="FC37" s="41"/>
      <c r="FD37" s="41"/>
      <c r="FE37" s="41"/>
      <c r="FF37" s="41"/>
      <c r="FG37" s="41"/>
      <c r="FH37" s="41"/>
      <c r="FI37" s="41"/>
      <c r="FJ37" s="41"/>
      <c r="FK37" s="41"/>
      <c r="FL37" s="41"/>
      <c r="FM37" s="41"/>
      <c r="FN37" s="41"/>
      <c r="FO37" s="41"/>
      <c r="FP37" s="41"/>
      <c r="FQ37" s="41"/>
      <c r="FR37" s="41"/>
      <c r="FS37" s="41"/>
      <c r="FT37" s="41"/>
      <c r="FU37" s="41"/>
      <c r="FV37" s="41"/>
      <c r="FW37" s="41"/>
      <c r="FX37" s="41"/>
      <c r="FY37" s="41"/>
      <c r="FZ37" s="41"/>
      <c r="GA37" s="41"/>
      <c r="GB37" s="41"/>
      <c r="GC37" s="41"/>
      <c r="GD37" s="41"/>
      <c r="GE37" s="41"/>
      <c r="GF37" s="41"/>
      <c r="GG37" s="41"/>
      <c r="GH37" s="41"/>
      <c r="GI37" s="41"/>
      <c r="GJ37" s="41"/>
      <c r="GK37" s="41"/>
      <c r="GL37" s="41"/>
      <c r="GM37" s="41"/>
      <c r="GN37" s="41"/>
      <c r="GO37" s="41"/>
    </row>
    <row r="38" spans="1:197" s="38" customFormat="1" ht="30" customHeight="1" thickBot="1" x14ac:dyDescent="0.25">
      <c r="A38" s="10"/>
      <c r="B38" s="97"/>
      <c r="C38" s="97"/>
      <c r="D38" s="92">
        <v>0</v>
      </c>
      <c r="E38" s="93"/>
      <c r="F38" s="93"/>
      <c r="G38" s="12"/>
      <c r="H38" s="3" t="str">
        <f t="shared" si="26"/>
        <v/>
      </c>
      <c r="I38" s="41"/>
      <c r="J38" s="41"/>
      <c r="K38" s="41"/>
      <c r="L38" s="41"/>
      <c r="M38" s="41"/>
      <c r="N38" s="41"/>
      <c r="O38" s="41"/>
      <c r="P38" s="41"/>
      <c r="Q38" s="41"/>
      <c r="R38" s="41"/>
      <c r="S38" s="41"/>
      <c r="T38" s="41"/>
      <c r="U38"/>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c r="CT38" s="41"/>
      <c r="CU38" s="41"/>
      <c r="CV38" s="41"/>
      <c r="CW38" s="41"/>
      <c r="CX38" s="41"/>
      <c r="CY38" s="41"/>
      <c r="CZ38" s="41"/>
      <c r="DA38" s="41"/>
      <c r="DB38" s="41"/>
      <c r="DC38" s="41"/>
      <c r="DD38" s="41"/>
      <c r="DE38" s="41"/>
      <c r="DF38" s="41"/>
      <c r="DG38" s="41"/>
      <c r="DH38" s="41"/>
      <c r="DI38" s="41"/>
      <c r="DJ38" s="41"/>
      <c r="DK38" s="41"/>
      <c r="DL38" s="41"/>
      <c r="DM38" s="41"/>
      <c r="DN38" s="41"/>
      <c r="DO38" s="41"/>
      <c r="DP38" s="41"/>
      <c r="DQ38" s="41"/>
      <c r="DR38" s="41"/>
      <c r="DS38" s="41"/>
      <c r="DT38" s="41"/>
      <c r="DU38" s="41"/>
      <c r="DV38" s="41"/>
      <c r="DW38" s="41"/>
      <c r="DX38" s="41"/>
      <c r="DY38" s="41"/>
      <c r="DZ38" s="41"/>
      <c r="EA38" s="41"/>
      <c r="EB38" s="41"/>
      <c r="EC38" s="41"/>
      <c r="ED38" s="41"/>
      <c r="EE38" s="41"/>
      <c r="EF38" s="41"/>
      <c r="EG38" s="41"/>
      <c r="EH38" s="41"/>
      <c r="EI38" s="41"/>
      <c r="EJ38" s="41"/>
      <c r="EK38" s="41"/>
      <c r="EL38" s="41"/>
      <c r="EM38" s="41"/>
      <c r="EN38" s="41"/>
      <c r="EO38" s="41"/>
      <c r="EP38" s="41"/>
      <c r="EQ38" s="41"/>
      <c r="ER38" s="41"/>
      <c r="ES38" s="41"/>
      <c r="ET38" s="41"/>
      <c r="EU38" s="41"/>
      <c r="EV38" s="41"/>
      <c r="EW38" s="41"/>
      <c r="EX38" s="41"/>
      <c r="EY38" s="41"/>
      <c r="EZ38" s="41"/>
      <c r="FA38" s="41"/>
      <c r="FB38" s="41"/>
      <c r="FC38" s="41"/>
      <c r="FD38" s="41"/>
      <c r="FE38" s="41"/>
      <c r="FF38" s="41"/>
      <c r="FG38" s="41"/>
      <c r="FH38" s="41"/>
      <c r="FI38" s="41"/>
      <c r="FJ38" s="41"/>
      <c r="FK38" s="41"/>
      <c r="FL38" s="41"/>
      <c r="FM38" s="41"/>
      <c r="FN38" s="41"/>
      <c r="FO38" s="41"/>
      <c r="FP38" s="41"/>
      <c r="FQ38" s="41"/>
      <c r="FR38" s="41"/>
      <c r="FS38" s="41"/>
      <c r="FT38" s="41"/>
      <c r="FU38" s="41"/>
      <c r="FV38" s="41"/>
      <c r="FW38" s="41"/>
      <c r="FX38" s="41"/>
      <c r="FY38" s="41"/>
      <c r="FZ38" s="41"/>
      <c r="GA38" s="41"/>
      <c r="GB38" s="41"/>
      <c r="GC38" s="41"/>
      <c r="GD38" s="41"/>
      <c r="GE38" s="41"/>
      <c r="GF38" s="41"/>
      <c r="GG38" s="41"/>
      <c r="GH38" s="41"/>
      <c r="GI38" s="41"/>
      <c r="GJ38" s="41"/>
      <c r="GK38" s="41"/>
      <c r="GL38" s="41"/>
      <c r="GM38" s="41"/>
      <c r="GN38" s="41"/>
      <c r="GO38" s="41"/>
    </row>
    <row r="57" spans="153:153" ht="30" customHeight="1" x14ac:dyDescent="0.2">
      <c r="EW57" t="s">
        <v>46</v>
      </c>
    </row>
  </sheetData>
  <mergeCells count="39">
    <mergeCell ref="C5:C6"/>
    <mergeCell ref="AR4:AX4"/>
    <mergeCell ref="I1:O1"/>
    <mergeCell ref="Q1:Z1"/>
    <mergeCell ref="AD1:AJ1"/>
    <mergeCell ref="AK1:AT1"/>
    <mergeCell ref="I2:O2"/>
    <mergeCell ref="Q2:Z2"/>
    <mergeCell ref="I4:O4"/>
    <mergeCell ref="P4:V4"/>
    <mergeCell ref="W4:AC4"/>
    <mergeCell ref="AD4:AJ4"/>
    <mergeCell ref="AK4:AQ4"/>
    <mergeCell ref="DC4:DI4"/>
    <mergeCell ref="DJ4:DP4"/>
    <mergeCell ref="DQ4:DW4"/>
    <mergeCell ref="DX4:ED4"/>
    <mergeCell ref="AY4:BE4"/>
    <mergeCell ref="BF4:BL4"/>
    <mergeCell ref="BM4:BS4"/>
    <mergeCell ref="BT4:BZ4"/>
    <mergeCell ref="CA4:CG4"/>
    <mergeCell ref="CH4:CN4"/>
    <mergeCell ref="FU4:GA4"/>
    <mergeCell ref="GB4:GH4"/>
    <mergeCell ref="GI4:GO4"/>
    <mergeCell ref="A5:A6"/>
    <mergeCell ref="B5:B6"/>
    <mergeCell ref="D5:D6"/>
    <mergeCell ref="E5:E6"/>
    <mergeCell ref="F5:F6"/>
    <mergeCell ref="EE4:EK4"/>
    <mergeCell ref="EL4:ER4"/>
    <mergeCell ref="ES4:EY4"/>
    <mergeCell ref="EZ4:FF4"/>
    <mergeCell ref="FG4:FM4"/>
    <mergeCell ref="FN4:FT4"/>
    <mergeCell ref="CO4:CU4"/>
    <mergeCell ref="CV4:DB4"/>
  </mergeCells>
  <conditionalFormatting sqref="D7:D38">
    <cfRule type="dataBar" priority="13">
      <dataBar>
        <cfvo type="num" val="0"/>
        <cfvo type="num" val="1"/>
        <color theme="0"/>
      </dataBar>
      <extLst>
        <ext xmlns:x14="http://schemas.microsoft.com/office/spreadsheetml/2009/9/main" uri="{B025F937-C7B1-47D3-B67F-A62EFF666E3E}">
          <x14:id>{75C2C92F-206F-41D1-B065-52967DD668F9}</x14:id>
        </ext>
      </extLst>
    </cfRule>
  </conditionalFormatting>
  <conditionalFormatting sqref="I9:BM9 BO9:GO9 I10:GO11">
    <cfRule type="expression" dxfId="20" priority="11">
      <formula>AND(task_start&lt;=I$5,ROUNDDOWN((task_end-task_start+1)*task_progress,0)+task_start-1&gt;=I$5)</formula>
    </cfRule>
    <cfRule type="expression" dxfId="19" priority="12" stopIfTrue="1">
      <formula>AND(task_end&gt;=I$5,task_start&lt;J$5)</formula>
    </cfRule>
  </conditionalFormatting>
  <conditionalFormatting sqref="I13:GO18">
    <cfRule type="expression" dxfId="18" priority="9">
      <formula>AND(task_start&lt;=I$5,ROUNDDOWN((task_end-task_start+1)*task_progress,0)+task_start-1&gt;=I$5)</formula>
    </cfRule>
    <cfRule type="expression" dxfId="17" priority="10" stopIfTrue="1">
      <formula>AND(task_end&gt;=I$5,task_start&lt;J$5)</formula>
    </cfRule>
  </conditionalFormatting>
  <conditionalFormatting sqref="I20:GO22">
    <cfRule type="expression" dxfId="16" priority="7">
      <formula>AND(task_start&lt;=I$5,ROUNDDOWN((task_end-task_start+1)*task_progress,0)+task_start-1&gt;=I$5)</formula>
    </cfRule>
    <cfRule type="expression" dxfId="15" priority="8" stopIfTrue="1">
      <formula>AND(task_end&gt;=I$5,task_start&lt;J$5)</formula>
    </cfRule>
  </conditionalFormatting>
  <conditionalFormatting sqref="I24:GO30">
    <cfRule type="expression" dxfId="14" priority="14">
      <formula>AND(task_start&lt;=I$5,ROUNDDOWN((task_end-task_start+1)*task_progress,0)+task_start-1&gt;=I$5)</formula>
    </cfRule>
    <cfRule type="expression" dxfId="13" priority="15" stopIfTrue="1">
      <formula>AND(task_end&gt;=I$5,task_start&lt;J$5)</formula>
    </cfRule>
  </conditionalFormatting>
  <conditionalFormatting sqref="I35:GO37 I38:T38 V38:GO38">
    <cfRule type="expression" dxfId="12" priority="1">
      <formula>AND(TODAY()&gt;=I$5, TODAY()&lt;J$5)</formula>
    </cfRule>
  </conditionalFormatting>
  <conditionalFormatting sqref="I36:GO37 I38:T38 V38:GO38">
    <cfRule type="expression" dxfId="11" priority="2">
      <formula>AND(task_start&lt;=I$5,ROUNDDOWN((task_end-task_start+1)*task_progress,0)+task_start-1&gt;=I$5)</formula>
    </cfRule>
    <cfRule type="expression" dxfId="10" priority="3" stopIfTrue="1">
      <formula>AND(task_end&gt;=I$5,task_start&lt;J$5)</formula>
    </cfRule>
  </conditionalFormatting>
  <conditionalFormatting sqref="BQ12">
    <cfRule type="expression" dxfId="9" priority="20">
      <formula>AND(task_start&lt;=BN$5,ROUNDDOWN((task_end-task_start+1)*task_progress,0)+task_start-1&gt;=BN$5)</formula>
    </cfRule>
    <cfRule type="expression" dxfId="8" priority="21" stopIfTrue="1">
      <formula>AND(task_end&gt;=BN$5,task_start&lt;BO$5)</formula>
    </cfRule>
    <cfRule type="expression" dxfId="7" priority="22">
      <formula>AND(TODAY()&gt;=BN$5, TODAY()&lt;BO$5)</formula>
    </cfRule>
  </conditionalFormatting>
  <conditionalFormatting sqref="CC32">
    <cfRule type="expression" dxfId="6" priority="17">
      <formula>AND(task_start&lt;=CB$5,ROUNDDOWN((task_end-task_start+1)*task_progress,0)+task_start-1&gt;=CB$5)</formula>
    </cfRule>
    <cfRule type="expression" dxfId="5" priority="18" stopIfTrue="1">
      <formula>AND(task_end&gt;=CB$5,task_start&lt;CC$5)</formula>
    </cfRule>
    <cfRule type="expression" dxfId="4" priority="19">
      <formula>AND(TODAY()&gt;=CB$5, TODAY()&lt;CC$5)</formula>
    </cfRule>
  </conditionalFormatting>
  <conditionalFormatting sqref="CD32:GO32 I32:CB34 CC33:GO34 BM4:GN6 I4:BL30 BM9 BO9:GO9 BM10:GO11 BM12:BP12 BR12:GO12 BM13:GO30 I31:GO31">
    <cfRule type="expression" dxfId="3" priority="6">
      <formula>AND(TODAY()&gt;=I$5, TODAY()&lt;J$5)</formula>
    </cfRule>
  </conditionalFormatting>
  <conditionalFormatting sqref="CD32:GO32 I32:CB34 CC33:GO34">
    <cfRule type="expression" dxfId="2" priority="4">
      <formula>AND(task_start&lt;=I$5,ROUNDDOWN((task_end-task_start+1)*task_progress,0)+task_start-1&gt;=I$5)</formula>
    </cfRule>
    <cfRule type="expression" dxfId="1" priority="5" stopIfTrue="1">
      <formula>AND(task_end&gt;=I$5,task_start&lt;J$5)</formula>
    </cfRule>
  </conditionalFormatting>
  <conditionalFormatting sqref="GO4:GO6">
    <cfRule type="expression" dxfId="0" priority="16">
      <formula>AND(TODAY()&gt;=GO$5, TODAY()&lt;#REF!)</formula>
    </cfRule>
  </conditionalFormatting>
  <dataValidations count="12">
    <dataValidation allowBlank="1" showInputMessage="1" showErrorMessage="1" prompt="Phase 4's sample block starts in cell B26." sqref="A23 A31 A35" xr:uid="{83001D37-B4F8-4B2E-BDE3-FA2A8E7E4710}"/>
    <dataValidation allowBlank="1" showInputMessage="1" showErrorMessage="1" prompt="Phase 3's sample block starts in cell B20." sqref="A19" xr:uid="{F3B70182-E05C-47A0-B6D7-C88158A56E68}"/>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76863FA4-4E01-449D-B502-2096A25E0329}"/>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62FC674A-8BA9-42CF-8668-F87696562654}"/>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35AF32AE-7399-4541-9801-B9566815F9E4}"/>
    <dataValidation allowBlank="1" showInputMessage="1" showErrorMessage="1" prompt="Cell B8 contains the Phase 1 sample title. Enter a new title in cell B8._x000a_To delete the phase and work only from tasks, simply delete this row." sqref="A8" xr:uid="{3D248FBB-74D7-4548-9446-4C6286C16ED7}"/>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D831C2F8-F842-4F83-835E-B41D400B9C23}"/>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876A4788-855D-40C1-9B71-A1ADFAB13431}"/>
    <dataValidation allowBlank="1" showInputMessage="1" showErrorMessage="1" prompt="Enter the name of the Project Lead in cell C3. Enter the Project Start date in cell Q1. Project Start: label is in cell I1." sqref="A3" xr:uid="{C8D8E0DF-B79C-4255-8B61-43B8915EB51E}"/>
    <dataValidation allowBlank="1" showInputMessage="1" showErrorMessage="1" prompt="Enter Company name in cel B2." sqref="A2" xr:uid="{9ABD5555-7757-416B-9641-EBB257FE28FA}"/>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BE382C4-14DF-4B32-BDE9-42A47668AFC6}"/>
    <dataValidation type="whole" operator="greaterThanOrEqual" allowBlank="1" showInputMessage="1" promptTitle="Display Week" prompt="Changing this number will scroll the Gantt Chart view." sqref="Q2" xr:uid="{AA0AADA4-C27C-48CF-B88C-0EEE4D883224}">
      <formula1>1</formula1>
    </dataValidation>
  </dataValidations>
  <printOptions horizontalCentered="1"/>
  <pageMargins left="0.35" right="0.35" top="0.35" bottom="0.5" header="0.3" footer="0.3"/>
  <pageSetup scale="57" fitToHeight="0" orientation="landscape" r:id="rId1"/>
  <headerFooter differentFirst="1" scaleWithDoc="0">
    <oddFooter>&amp;R_x000D_&amp;1#&amp;"Arial"&amp;12&amp;KFF0000 ST Restricted</oddFooter>
    <firstFooter>&amp;R_x000D_&amp;1#&amp;"Arial"&amp;12&amp;KFF0000 ST Restricted</firstFooter>
  </headerFooter>
  <extLst>
    <ext xmlns:x14="http://schemas.microsoft.com/office/spreadsheetml/2009/9/main" uri="{78C0D931-6437-407d-A8EE-F0AAD7539E65}">
      <x14:conditionalFormattings>
        <x14:conditionalFormatting xmlns:xm="http://schemas.microsoft.com/office/excel/2006/main">
          <x14:cfRule type="dataBar" id="{75C2C92F-206F-41D1-B065-52967DD668F9}">
            <x14:dataBar minLength="0" maxLength="100" gradient="0">
              <x14:cfvo type="num">
                <xm:f>0</xm:f>
              </x14:cfvo>
              <x14:cfvo type="num">
                <xm:f>1</xm:f>
              </x14:cfvo>
              <x14:negativeFillColor rgb="FFFF0000"/>
              <x14:axisColor rgb="FF000000"/>
            </x14:dataBar>
          </x14:cfRule>
          <xm:sqref>D7:D38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FADE2-A6BD-4953-B011-56B556830898}">
  <dimension ref="A1"/>
  <sheetViews>
    <sheetView workbookViewId="0">
      <selection activeCell="E40" sqref="E40"/>
    </sheetView>
  </sheetViews>
  <sheetFormatPr defaultRowHeight="14.2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heetViews>
  <sheetFormatPr defaultColWidth="9" defaultRowHeight="12.75" x14ac:dyDescent="0.2"/>
  <cols>
    <col min="1" max="1" width="87" style="4" customWidth="1"/>
    <col min="2" max="16384" width="9" style="1"/>
  </cols>
  <sheetData>
    <row r="1" spans="1:2" ht="46.5" customHeight="1" x14ac:dyDescent="0.2"/>
    <row r="2" spans="1:2" s="6" customFormat="1" ht="15.75" x14ac:dyDescent="0.2">
      <c r="A2" s="70" t="s">
        <v>7</v>
      </c>
      <c r="B2" s="5"/>
    </row>
    <row r="3" spans="1:2" s="8" customFormat="1" ht="27" customHeight="1" x14ac:dyDescent="0.2">
      <c r="A3" s="71"/>
      <c r="B3" s="9"/>
    </row>
    <row r="4" spans="1:2" s="7" customFormat="1" ht="31.5" x14ac:dyDescent="0.6">
      <c r="A4" s="72" t="s">
        <v>6</v>
      </c>
    </row>
    <row r="5" spans="1:2" ht="74.25" customHeight="1" x14ac:dyDescent="0.2">
      <c r="A5" s="73" t="s">
        <v>14</v>
      </c>
    </row>
    <row r="6" spans="1:2" ht="26.25" customHeight="1" x14ac:dyDescent="0.2">
      <c r="A6" s="72" t="s">
        <v>17</v>
      </c>
    </row>
    <row r="7" spans="1:2" s="4" customFormat="1" ht="205.15" customHeight="1" x14ac:dyDescent="0.2">
      <c r="A7" s="74" t="s">
        <v>16</v>
      </c>
    </row>
    <row r="8" spans="1:2" s="7" customFormat="1" ht="31.5" x14ac:dyDescent="0.6">
      <c r="A8" s="72" t="s">
        <v>8</v>
      </c>
    </row>
    <row r="9" spans="1:2" ht="57" x14ac:dyDescent="0.2">
      <c r="A9" s="73" t="s">
        <v>15</v>
      </c>
    </row>
    <row r="10" spans="1:2" s="4" customFormat="1" ht="28.15" customHeight="1" x14ac:dyDescent="0.2">
      <c r="A10" s="75" t="s">
        <v>13</v>
      </c>
    </row>
    <row r="11" spans="1:2" s="7" customFormat="1" ht="31.5" x14ac:dyDescent="0.6">
      <c r="A11" s="72" t="s">
        <v>5</v>
      </c>
    </row>
    <row r="12" spans="1:2" ht="28.5" x14ac:dyDescent="0.2">
      <c r="A12" s="73" t="s">
        <v>12</v>
      </c>
    </row>
    <row r="13" spans="1:2" s="4" customFormat="1" ht="28.15" customHeight="1" x14ac:dyDescent="0.2">
      <c r="A13" s="75" t="s">
        <v>1</v>
      </c>
    </row>
    <row r="14" spans="1:2" s="7" customFormat="1" ht="31.5" x14ac:dyDescent="0.6">
      <c r="A14" s="72" t="s">
        <v>9</v>
      </c>
    </row>
    <row r="15" spans="1:2" ht="75" customHeight="1" x14ac:dyDescent="0.2">
      <c r="A15" s="73" t="s">
        <v>10</v>
      </c>
    </row>
    <row r="16" spans="1:2" ht="71.25" x14ac:dyDescent="0.2">
      <c r="A16" s="73" t="s">
        <v>11</v>
      </c>
    </row>
    <row r="17" spans="1:1" x14ac:dyDescent="0.2">
      <c r="A17" s="76"/>
    </row>
    <row r="18" spans="1:1" x14ac:dyDescent="0.2">
      <c r="A18" s="76"/>
    </row>
    <row r="19" spans="1:1" x14ac:dyDescent="0.2">
      <c r="A19" s="76"/>
    </row>
    <row r="20" spans="1:1" x14ac:dyDescent="0.2">
      <c r="A20" s="76"/>
    </row>
    <row r="21" spans="1:1" x14ac:dyDescent="0.2">
      <c r="A21" s="76"/>
    </row>
    <row r="22" spans="1:1" x14ac:dyDescent="0.2">
      <c r="A22" s="76"/>
    </row>
    <row r="23" spans="1:1" x14ac:dyDescent="0.2">
      <c r="A23" s="76"/>
    </row>
    <row r="24" spans="1:1" x14ac:dyDescent="0.2">
      <c r="A24" s="76"/>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headerFooter>
    <oddFooter>&amp;R_x000D_&amp;1#&amp;"Arial"&amp;12&amp;KFF0000 ST Restricted</oddFooter>
  </headerFooter>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2006/documentManagement/types"/>
    <ds:schemaRef ds:uri="230e9df3-be65-4c73-a93b-d1236ebd677e"/>
    <ds:schemaRef ds:uri="http://schemas.microsoft.com/office/2006/metadata/properties"/>
    <ds:schemaRef ds:uri="http://purl.org/dc/terms/"/>
    <ds:schemaRef ds:uri="http://www.w3.org/XML/1998/namespace"/>
    <ds:schemaRef ds:uri="http://schemas.microsoft.com/office/infopath/2007/PartnerControls"/>
    <ds:schemaRef ds:uri="http://purl.org/dc/dcmitype/"/>
    <ds:schemaRef ds:uri="http://purl.org/dc/elements/1.1/"/>
    <ds:schemaRef ds:uri="71af3243-3dd4-4a8d-8c0d-dd76da1f02a5"/>
    <ds:schemaRef ds:uri="http://schemas.openxmlformats.org/package/2006/metadata/core-properties"/>
    <ds:schemaRef ds:uri="16c05727-aa75-4e4a-9b5f-8a80a1165891"/>
    <ds:schemaRef ds:uri="http://schemas.microsoft.com/sharepoint/v3"/>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3add6c0-cfdb-4bb9-b90f-bf23b83aa6c0}" enabled="1" method="Privileged" siteId="{75e027c9-20d5-47d5-b82f-77d7cd041e8f}" removed="0"/>
</clbl:labelLis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5</vt:i4>
      </vt:variant>
      <vt:variant>
        <vt:lpstr>Named Ranges</vt:lpstr>
      </vt:variant>
      <vt:variant>
        <vt:i4>21</vt:i4>
      </vt:variant>
    </vt:vector>
  </HeadingPairs>
  <TitlesOfParts>
    <vt:vector size="26" baseType="lpstr">
      <vt:lpstr>Project schedule initial</vt:lpstr>
      <vt:lpstr>Project schedule dynamic</vt:lpstr>
      <vt:lpstr>New GANTT</vt:lpstr>
      <vt:lpstr>Sheet1</vt:lpstr>
      <vt:lpstr>About</vt:lpstr>
      <vt:lpstr>'New GANTT'!Display_Week</vt:lpstr>
      <vt:lpstr>'Project schedule initial'!Display_Week</vt:lpstr>
      <vt:lpstr>Display_Week</vt:lpstr>
      <vt:lpstr>'New GANTT'!Print_Titles</vt:lpstr>
      <vt:lpstr>'Project schedule dynamic'!Print_Titles</vt:lpstr>
      <vt:lpstr>'Project schedule initial'!Print_Titles</vt:lpstr>
      <vt:lpstr>'New GANTT'!Project_Start</vt:lpstr>
      <vt:lpstr>'Project schedule initial'!Project_Start</vt:lpstr>
      <vt:lpstr>Project_Start</vt:lpstr>
      <vt:lpstr>'New GANTT'!task_end</vt:lpstr>
      <vt:lpstr>'Project schedule dynamic'!task_end</vt:lpstr>
      <vt:lpstr>'Project schedule initial'!task_end</vt:lpstr>
      <vt:lpstr>Sheet1!task_end</vt:lpstr>
      <vt:lpstr>'New GANTT'!task_progress</vt:lpstr>
      <vt:lpstr>'Project schedule dynamic'!task_progress</vt:lpstr>
      <vt:lpstr>'Project schedule initial'!task_progress</vt:lpstr>
      <vt:lpstr>Sheet1!task_progress</vt:lpstr>
      <vt:lpstr>'New GANTT'!task_start</vt:lpstr>
      <vt:lpstr>'Project schedule dynamic'!task_start</vt:lpstr>
      <vt:lpstr>'Project schedule initial'!task_start</vt:lpstr>
      <vt:lpstr>Sheet1!task_start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Abir GHARBI</dc:creator>
  <dc:description/>
  <cp:lastModifiedBy>Abir GHARBI</cp:lastModifiedBy>
  <dcterms:created xsi:type="dcterms:W3CDTF">2022-03-11T22:41:12Z</dcterms:created>
  <dcterms:modified xsi:type="dcterms:W3CDTF">2026-03-23T10:23:11Z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